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cull\Documents\"/>
    </mc:Choice>
  </mc:AlternateContent>
  <xr:revisionPtr revIDLastSave="0" documentId="13_ncr:1_{565A3385-49BE-4212-BE91-1547C9F02AF4}" xr6:coauthVersionLast="47" xr6:coauthVersionMax="47" xr10:uidLastSave="{00000000-0000-0000-0000-000000000000}"/>
  <bookViews>
    <workbookView xWindow="-108" yWindow="-108" windowWidth="23256" windowHeight="12456" xr2:uid="{DEC1A47B-3359-40F7-9172-E1534F5BCEAB}"/>
  </bookViews>
  <sheets>
    <sheet name="Subjects" sheetId="3" r:id="rId1"/>
    <sheet name="Names and notes" sheetId="5" r:id="rId2"/>
    <sheet name="don't_need_REA_INF023" sheetId="7" r:id="rId3"/>
    <sheet name="TOD_BB025" sheetId="10" r:id="rId4"/>
    <sheet name="INF_BB025" sheetId="12" r:id="rId5"/>
    <sheet name="TOD_BB026" sheetId="13" r:id="rId6"/>
    <sheet name="INF_BB026" sheetId="21" r:id="rId7"/>
    <sheet name="TOD_BB030" sheetId="14" r:id="rId8"/>
    <sheet name="INF_BB030" sheetId="16" r:id="rId9"/>
    <sheet name="TOD_BB031" sheetId="17" r:id="rId10"/>
    <sheet name="INF_BB031" sheetId="18" r:id="rId11"/>
    <sheet name="TOD_BB037" sheetId="19" r:id="rId12"/>
    <sheet name="INF_BB037" sheetId="20" r:id="rId13"/>
    <sheet name="TOD_BB041" sheetId="22" r:id="rId14"/>
    <sheet name="INF_BB041" sheetId="25" r:id="rId15"/>
    <sheet name="TOD_BB047" sheetId="26" r:id="rId16"/>
    <sheet name="INF_BB047" sheetId="27" r:id="rId17"/>
    <sheet name="TOD_BB050" sheetId="28" r:id="rId18"/>
    <sheet name="INF_BB050" sheetId="29" r:id="rId19"/>
    <sheet name="TOD_BB051" sheetId="30" r:id="rId20"/>
    <sheet name="INF_BB051" sheetId="31" r:id="rId21"/>
    <sheet name="TOD_BB061" sheetId="32" r:id="rId22"/>
    <sheet name="INF_BB061" sheetId="33" r:id="rId23"/>
    <sheet name="TOD_BB063" sheetId="34" r:id="rId24"/>
    <sheet name="INF_BB063" sheetId="35" r:id="rId25"/>
    <sheet name="TOD_BB065" sheetId="36" r:id="rId26"/>
    <sheet name="INF_BB065" sheetId="37" r:id="rId27"/>
    <sheet name="TOD_BB067" sheetId="38" r:id="rId28"/>
    <sheet name="INF_BB067" sheetId="4" r:id="rId29"/>
    <sheet name="TOD_BB072" sheetId="39" r:id="rId30"/>
    <sheet name="INF_BB072" sheetId="43" r:id="rId31"/>
    <sheet name="TOD_BB074" sheetId="44" r:id="rId32"/>
    <sheet name="INF_BB074" sheetId="45" r:id="rId33"/>
    <sheet name="BEG_INF002" sheetId="42" r:id="rId34"/>
    <sheet name="INF002" sheetId="47" r:id="rId35"/>
    <sheet name="REA_INF003" sheetId="6" r:id="rId36"/>
    <sheet name="INF003" sheetId="49" r:id="rId37"/>
    <sheet name="REA_INF005" sheetId="50" r:id="rId38"/>
    <sheet name="PRE_INF005" sheetId="9" r:id="rId39"/>
    <sheet name="INF005 - was not aligned" sheetId="54" r:id="rId40"/>
    <sheet name="BEG_INF007" sheetId="51" r:id="rId41"/>
    <sheet name="INF007" sheetId="46" r:id="rId42"/>
    <sheet name="PRE_INF010" sheetId="55" r:id="rId43"/>
    <sheet name="INF010" sheetId="57" r:id="rId44"/>
    <sheet name="REA_INF011" sheetId="58" r:id="rId45"/>
    <sheet name="INF011" sheetId="59" r:id="rId46"/>
    <sheet name="REA_INF012" sheetId="60" r:id="rId47"/>
    <sheet name="INF012" sheetId="61" r:id="rId48"/>
    <sheet name="BEG_INF013" sheetId="62" r:id="rId49"/>
    <sheet name="INF013" sheetId="63" r:id="rId50"/>
    <sheet name="REA_INF015" sheetId="53" r:id="rId51"/>
    <sheet name="INF015" sheetId="65" r:id="rId52"/>
    <sheet name="REA_INF016" sheetId="66" r:id="rId53"/>
    <sheet name="INF016" sheetId="67" r:id="rId54"/>
    <sheet name="REA_INF017" sheetId="68" r:id="rId55"/>
    <sheet name="INF017" sheetId="69" r:id="rId56"/>
    <sheet name="REA_INF018" sheetId="70" r:id="rId57"/>
    <sheet name="INF018" sheetId="71" r:id="rId58"/>
    <sheet name="REA_INF019" sheetId="72" r:id="rId59"/>
    <sheet name="INF019" sheetId="73" r:id="rId60"/>
    <sheet name="REA_INF020" sheetId="74" r:id="rId61"/>
    <sheet name="INF020" sheetId="75" r:id="rId62"/>
    <sheet name="REA_INF021" sheetId="76" r:id="rId63"/>
    <sheet name="INF021" sheetId="77" r:id="rId64"/>
    <sheet name="REA_INF022" sheetId="78" r:id="rId65"/>
    <sheet name="INF022" sheetId="79" r:id="rId66"/>
    <sheet name="REA_INF023" sheetId="80" r:id="rId67"/>
    <sheet name="Overall Completion" sheetId="1" r:id="rId68"/>
    <sheet name="Reference Tracker" sheetId="64" r:id="rId69"/>
  </sheets>
  <definedNames>
    <definedName name="_xlnm._FilterDatabase" localSheetId="0" hidden="1">Subjects!$A$1:$R$336</definedName>
    <definedName name="Table01">Subjects!#REF!</definedName>
    <definedName name="Table02">Subjects!#REF!</definedName>
    <definedName name="Table03">Subjects!#REF!</definedName>
    <definedName name="Table04">Subjects!#REF!</definedName>
    <definedName name="Table05">Subjects!#REF!</definedName>
    <definedName name="Table06">Subjects!#REF!</definedName>
    <definedName name="Table1">Subjects!#REF!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80" l="1"/>
  <c r="F66" i="79"/>
  <c r="F66" i="78"/>
  <c r="F66" i="77"/>
  <c r="F66" i="76"/>
  <c r="F66" i="75"/>
  <c r="F66" i="74"/>
  <c r="F66" i="73"/>
  <c r="F66" i="72"/>
  <c r="F66" i="71"/>
  <c r="F66" i="70"/>
  <c r="F66" i="69"/>
  <c r="F66" i="68"/>
  <c r="F66" i="67"/>
  <c r="F66" i="66"/>
  <c r="F66" i="65"/>
  <c r="F66" i="64"/>
  <c r="F66" i="63"/>
  <c r="F66" i="62"/>
  <c r="F66" i="61"/>
  <c r="F66" i="60"/>
  <c r="F66" i="58"/>
  <c r="F66" i="57"/>
  <c r="F66" i="55"/>
  <c r="F66" i="54"/>
  <c r="F66" i="53"/>
  <c r="F66" i="51"/>
  <c r="F66" i="50"/>
  <c r="F66" i="49"/>
  <c r="F66" i="47"/>
  <c r="F66" i="46"/>
  <c r="F66" i="45"/>
  <c r="F66" i="44"/>
  <c r="F66" i="43"/>
  <c r="F66" i="42"/>
  <c r="F66" i="39"/>
  <c r="F66" i="38"/>
  <c r="F66" i="37"/>
  <c r="F66" i="36"/>
  <c r="F66" i="35"/>
  <c r="F66" i="34"/>
  <c r="F66" i="33"/>
  <c r="F66" i="32"/>
  <c r="F66" i="31"/>
  <c r="F66" i="30"/>
  <c r="F66" i="29"/>
  <c r="F66" i="28"/>
  <c r="F66" i="27"/>
  <c r="F66" i="26"/>
  <c r="F66" i="25"/>
  <c r="F66" i="22"/>
  <c r="F66" i="21"/>
  <c r="F66" i="20"/>
  <c r="F66" i="19"/>
  <c r="F66" i="18"/>
  <c r="F66" i="17"/>
  <c r="F66" i="16"/>
  <c r="F66" i="14"/>
  <c r="F66" i="13"/>
  <c r="F66" i="12"/>
  <c r="F66" i="4"/>
  <c r="F66" i="10"/>
  <c r="F66" i="9"/>
  <c r="F66" i="7"/>
  <c r="F66" i="6"/>
  <c r="G2" i="3"/>
  <c r="H2" i="3" s="1"/>
  <c r="G3" i="3"/>
  <c r="H3" i="3"/>
  <c r="G4" i="3"/>
  <c r="H4" i="3" s="1"/>
  <c r="G5" i="3"/>
  <c r="H5" i="3" s="1"/>
  <c r="G6" i="3"/>
  <c r="H6" i="3" s="1"/>
  <c r="G7" i="3"/>
  <c r="H7" i="3" s="1"/>
  <c r="G8" i="3"/>
  <c r="H8" i="3" s="1"/>
  <c r="G9" i="3"/>
  <c r="H9" i="3" s="1"/>
  <c r="G10" i="3"/>
  <c r="H10" i="3" s="1"/>
  <c r="G11" i="3"/>
  <c r="H11" i="3" s="1"/>
  <c r="G12" i="3"/>
  <c r="H12" i="3" s="1"/>
  <c r="G13" i="3"/>
  <c r="H13" i="3" s="1"/>
  <c r="G14" i="3"/>
  <c r="H14" i="3" s="1"/>
  <c r="G15" i="3"/>
  <c r="H15" i="3" s="1"/>
  <c r="G16" i="3"/>
  <c r="H16" i="3" s="1"/>
  <c r="G17" i="3"/>
  <c r="H17" i="3" s="1"/>
  <c r="G18" i="3"/>
  <c r="H18" i="3" s="1"/>
  <c r="G19" i="3"/>
  <c r="H19" i="3" s="1"/>
  <c r="G20" i="3"/>
  <c r="H20" i="3" s="1"/>
  <c r="G21" i="3"/>
  <c r="H21" i="3" s="1"/>
  <c r="G22" i="3"/>
  <c r="H22" i="3" s="1"/>
  <c r="G23" i="3"/>
  <c r="H23" i="3" s="1"/>
  <c r="G24" i="3"/>
  <c r="H24" i="3" s="1"/>
  <c r="G25" i="3"/>
  <c r="H25" i="3" s="1"/>
  <c r="G26" i="3"/>
  <c r="H26" i="3" s="1"/>
  <c r="G27" i="3"/>
  <c r="H27" i="3" s="1"/>
  <c r="G28" i="3"/>
  <c r="H28" i="3" s="1"/>
  <c r="G29" i="3"/>
  <c r="H29" i="3" s="1"/>
  <c r="G30" i="3"/>
  <c r="H30" i="3" s="1"/>
  <c r="G31" i="3"/>
  <c r="H31" i="3" s="1"/>
  <c r="G32" i="3"/>
  <c r="H32" i="3" s="1"/>
  <c r="G33" i="3"/>
  <c r="H33" i="3" s="1"/>
  <c r="G34" i="3"/>
  <c r="H34" i="3" s="1"/>
  <c r="G35" i="3"/>
  <c r="H35" i="3" s="1"/>
  <c r="G36" i="3"/>
  <c r="H36" i="3" s="1"/>
  <c r="G37" i="3"/>
  <c r="H37" i="3" s="1"/>
  <c r="G38" i="3"/>
  <c r="H38" i="3" s="1"/>
  <c r="G39" i="3"/>
  <c r="H39" i="3" s="1"/>
  <c r="G40" i="3"/>
  <c r="H40" i="3" s="1"/>
  <c r="G41" i="3"/>
  <c r="H41" i="3" s="1"/>
  <c r="G42" i="3"/>
  <c r="H42" i="3" s="1"/>
  <c r="G43" i="3"/>
  <c r="H43" i="3"/>
  <c r="G44" i="3"/>
  <c r="H44" i="3" s="1"/>
  <c r="G45" i="3"/>
  <c r="H45" i="3" s="1"/>
  <c r="G46" i="3"/>
  <c r="H46" i="3" s="1"/>
  <c r="G47" i="3"/>
  <c r="H47" i="3" s="1"/>
  <c r="G48" i="3"/>
  <c r="H48" i="3" s="1"/>
  <c r="G49" i="3"/>
  <c r="H49" i="3"/>
  <c r="G50" i="3"/>
  <c r="H50" i="3"/>
  <c r="G51" i="3"/>
  <c r="H51" i="3" s="1"/>
  <c r="G52" i="3"/>
  <c r="H52" i="3" s="1"/>
  <c r="G53" i="3"/>
  <c r="H53" i="3" s="1"/>
  <c r="G54" i="3"/>
  <c r="H54" i="3" s="1"/>
  <c r="G55" i="3"/>
  <c r="H55" i="3" s="1"/>
  <c r="G56" i="3"/>
  <c r="H56" i="3"/>
  <c r="G57" i="3"/>
  <c r="H57" i="3" s="1"/>
  <c r="G58" i="3"/>
  <c r="H58" i="3" s="1"/>
  <c r="G59" i="3"/>
  <c r="H59" i="3" s="1"/>
  <c r="G60" i="3"/>
  <c r="H60" i="3" s="1"/>
  <c r="G61" i="3"/>
  <c r="H61" i="3" s="1"/>
  <c r="G62" i="3"/>
  <c r="H62" i="3"/>
  <c r="G63" i="3"/>
  <c r="H63" i="3" s="1"/>
  <c r="G64" i="3"/>
  <c r="H64" i="3" s="1"/>
  <c r="G65" i="3"/>
  <c r="H65" i="3" s="1"/>
  <c r="G66" i="3"/>
  <c r="H66" i="3" s="1"/>
  <c r="G67" i="3"/>
  <c r="H67" i="3"/>
  <c r="G68" i="3"/>
  <c r="H68" i="3" s="1"/>
  <c r="G69" i="3"/>
  <c r="H69" i="3" s="1"/>
  <c r="G70" i="3"/>
  <c r="H70" i="3" s="1"/>
  <c r="G71" i="3"/>
  <c r="H71" i="3" s="1"/>
  <c r="G72" i="3"/>
  <c r="H72" i="3" s="1"/>
  <c r="G73" i="3"/>
  <c r="H73" i="3" s="1"/>
  <c r="G74" i="3"/>
  <c r="H74" i="3" s="1"/>
  <c r="G75" i="3"/>
  <c r="H75" i="3" s="1"/>
  <c r="G76" i="3"/>
  <c r="H76" i="3" s="1"/>
  <c r="G77" i="3"/>
  <c r="H77" i="3" s="1"/>
  <c r="G78" i="3"/>
  <c r="H78" i="3" s="1"/>
  <c r="G79" i="3"/>
  <c r="H79" i="3" s="1"/>
  <c r="G80" i="3"/>
  <c r="H80" i="3"/>
  <c r="G81" i="3"/>
  <c r="H81" i="3"/>
  <c r="G82" i="3"/>
  <c r="H82" i="3" s="1"/>
  <c r="G83" i="3"/>
  <c r="H83" i="3"/>
  <c r="G84" i="3"/>
  <c r="H84" i="3" s="1"/>
  <c r="G85" i="3"/>
  <c r="H85" i="3" s="1"/>
  <c r="G86" i="3"/>
  <c r="H86" i="3" s="1"/>
  <c r="G87" i="3"/>
  <c r="H87" i="3" s="1"/>
  <c r="G88" i="3"/>
  <c r="H88" i="3" s="1"/>
  <c r="G89" i="3"/>
  <c r="H89" i="3" s="1"/>
  <c r="G90" i="3"/>
  <c r="H90" i="3"/>
  <c r="G91" i="3"/>
  <c r="H91" i="3" s="1"/>
  <c r="G92" i="3"/>
  <c r="H92" i="3" s="1"/>
  <c r="G93" i="3"/>
  <c r="H93" i="3" s="1"/>
  <c r="G94" i="3"/>
  <c r="H94" i="3" s="1"/>
  <c r="G95" i="3"/>
  <c r="H95" i="3" s="1"/>
  <c r="G96" i="3"/>
  <c r="H96" i="3" s="1"/>
  <c r="G97" i="3"/>
  <c r="H97" i="3" s="1"/>
  <c r="G98" i="3"/>
  <c r="H98" i="3" s="1"/>
  <c r="G99" i="3"/>
  <c r="H99" i="3" s="1"/>
  <c r="G100" i="3"/>
  <c r="H100" i="3"/>
  <c r="G101" i="3"/>
  <c r="H101" i="3" s="1"/>
  <c r="G102" i="3"/>
  <c r="H102" i="3" s="1"/>
  <c r="G103" i="3"/>
  <c r="H103" i="3" s="1"/>
  <c r="G104" i="3"/>
  <c r="H104" i="3" s="1"/>
  <c r="G105" i="3"/>
  <c r="H105" i="3" s="1"/>
  <c r="G106" i="3"/>
  <c r="H106" i="3" s="1"/>
  <c r="G107" i="3"/>
  <c r="H107" i="3" s="1"/>
  <c r="G108" i="3"/>
  <c r="H108" i="3" s="1"/>
  <c r="G109" i="3"/>
  <c r="H109" i="3" s="1"/>
  <c r="G110" i="3"/>
  <c r="H110" i="3" s="1"/>
  <c r="G111" i="3"/>
  <c r="H111" i="3" s="1"/>
  <c r="G112" i="3"/>
  <c r="H112" i="3" s="1"/>
  <c r="G113" i="3"/>
  <c r="H113" i="3" s="1"/>
  <c r="G114" i="3"/>
  <c r="H114" i="3" s="1"/>
  <c r="G115" i="3"/>
  <c r="H115" i="3" s="1"/>
  <c r="G116" i="3"/>
  <c r="H116" i="3" s="1"/>
  <c r="G117" i="3"/>
  <c r="H117" i="3"/>
  <c r="G118" i="3"/>
  <c r="H118" i="3" s="1"/>
  <c r="G120" i="3"/>
  <c r="H120" i="3" s="1"/>
  <c r="G119" i="3"/>
  <c r="H119" i="3" s="1"/>
  <c r="G122" i="3"/>
  <c r="H122" i="3" s="1"/>
  <c r="G121" i="3"/>
  <c r="H121" i="3" s="1"/>
  <c r="G123" i="3"/>
  <c r="H123" i="3"/>
  <c r="G124" i="3"/>
  <c r="H124" i="3" s="1"/>
  <c r="G126" i="3"/>
  <c r="H126" i="3" s="1"/>
  <c r="G125" i="3"/>
  <c r="H125" i="3" s="1"/>
  <c r="G128" i="3"/>
  <c r="H128" i="3" s="1"/>
  <c r="G127" i="3"/>
  <c r="H127" i="3" s="1"/>
  <c r="G129" i="3"/>
  <c r="H129" i="3" s="1"/>
  <c r="G130" i="3"/>
  <c r="H130" i="3" s="1"/>
  <c r="G131" i="3"/>
  <c r="H131" i="3" s="1"/>
  <c r="G132" i="3"/>
  <c r="H132" i="3" s="1"/>
  <c r="G133" i="3"/>
  <c r="H133" i="3" s="1"/>
  <c r="G134" i="3"/>
  <c r="H134" i="3" s="1"/>
  <c r="G136" i="3"/>
  <c r="H136" i="3" s="1"/>
  <c r="G135" i="3"/>
  <c r="H135" i="3" s="1"/>
  <c r="G137" i="3"/>
  <c r="H137" i="3" s="1"/>
  <c r="G138" i="3"/>
  <c r="H138" i="3" s="1"/>
  <c r="G140" i="3"/>
  <c r="H140" i="3" s="1"/>
  <c r="G139" i="3"/>
  <c r="H139" i="3" s="1"/>
  <c r="G142" i="3"/>
  <c r="H142" i="3" s="1"/>
  <c r="G141" i="3"/>
  <c r="H141" i="3"/>
  <c r="G144" i="3"/>
  <c r="H144" i="3" s="1"/>
  <c r="G143" i="3"/>
  <c r="H143" i="3" s="1"/>
  <c r="G146" i="3"/>
  <c r="H146" i="3" s="1"/>
  <c r="G145" i="3"/>
  <c r="H145" i="3" s="1"/>
  <c r="G147" i="3"/>
  <c r="H147" i="3" s="1"/>
  <c r="G148" i="3"/>
  <c r="H148" i="3" s="1"/>
  <c r="G149" i="3"/>
  <c r="H149" i="3" s="1"/>
  <c r="G150" i="3"/>
  <c r="H150" i="3"/>
  <c r="G152" i="3"/>
  <c r="H152" i="3" s="1"/>
  <c r="G151" i="3"/>
  <c r="H151" i="3" s="1"/>
  <c r="G154" i="3"/>
  <c r="H154" i="3" s="1"/>
  <c r="G153" i="3"/>
  <c r="H153" i="3" s="1"/>
  <c r="G156" i="3"/>
  <c r="H156" i="3" s="1"/>
  <c r="G155" i="3"/>
  <c r="H155" i="3" s="1"/>
  <c r="G158" i="3"/>
  <c r="H158" i="3"/>
  <c r="G157" i="3"/>
  <c r="H157" i="3" s="1"/>
  <c r="G159" i="3"/>
  <c r="H159" i="3" s="1"/>
  <c r="G160" i="3"/>
  <c r="H160" i="3" s="1"/>
  <c r="G161" i="3"/>
  <c r="H161" i="3" s="1"/>
  <c r="G162" i="3"/>
  <c r="H162" i="3" s="1"/>
  <c r="G164" i="3"/>
  <c r="H164" i="3" s="1"/>
  <c r="G163" i="3"/>
  <c r="H163" i="3" s="1"/>
  <c r="G166" i="3"/>
  <c r="H166" i="3" s="1"/>
  <c r="G165" i="3"/>
  <c r="H165" i="3" s="1"/>
  <c r="G167" i="3"/>
  <c r="H167" i="3" s="1"/>
  <c r="G168" i="3"/>
  <c r="H168" i="3" s="1"/>
  <c r="G169" i="3"/>
  <c r="H169" i="3" s="1"/>
  <c r="G170" i="3"/>
  <c r="H170" i="3" s="1"/>
  <c r="G171" i="3"/>
  <c r="H171" i="3" s="1"/>
  <c r="G172" i="3"/>
  <c r="H172" i="3" s="1"/>
  <c r="G173" i="3"/>
  <c r="H173" i="3" s="1"/>
  <c r="G174" i="3"/>
  <c r="H174" i="3" s="1"/>
  <c r="G175" i="3"/>
  <c r="H175" i="3" s="1"/>
  <c r="G176" i="3"/>
  <c r="H176" i="3" s="1"/>
  <c r="G177" i="3"/>
  <c r="H177" i="3" s="1"/>
  <c r="G178" i="3"/>
  <c r="H178" i="3" s="1"/>
  <c r="G179" i="3"/>
  <c r="H179" i="3" s="1"/>
  <c r="G180" i="3"/>
  <c r="H180" i="3" s="1"/>
  <c r="G181" i="3"/>
  <c r="H181" i="3" s="1"/>
  <c r="G182" i="3"/>
  <c r="H182" i="3" s="1"/>
  <c r="G183" i="3"/>
  <c r="H183" i="3" s="1"/>
  <c r="G184" i="3"/>
  <c r="H184" i="3" s="1"/>
  <c r="G185" i="3"/>
  <c r="H185" i="3" s="1"/>
  <c r="G186" i="3"/>
  <c r="H186" i="3"/>
  <c r="G187" i="3"/>
  <c r="H187" i="3"/>
  <c r="G188" i="3"/>
  <c r="H188" i="3" s="1"/>
  <c r="G189" i="3"/>
  <c r="H189" i="3" s="1"/>
  <c r="G190" i="3"/>
  <c r="H190" i="3" s="1"/>
  <c r="G191" i="3"/>
  <c r="H191" i="3" s="1"/>
  <c r="G192" i="3"/>
  <c r="H192" i="3" s="1"/>
  <c r="G194" i="3"/>
  <c r="H194" i="3" s="1"/>
  <c r="G195" i="3"/>
  <c r="H195" i="3" s="1"/>
  <c r="G193" i="3"/>
  <c r="H193" i="3" s="1"/>
  <c r="G197" i="3"/>
  <c r="H197" i="3" s="1"/>
  <c r="G198" i="3"/>
  <c r="H198" i="3" s="1"/>
  <c r="G199" i="3"/>
  <c r="H199" i="3" s="1"/>
  <c r="G196" i="3"/>
  <c r="H196" i="3" s="1"/>
  <c r="G201" i="3"/>
  <c r="H201" i="3"/>
  <c r="G202" i="3"/>
  <c r="H202" i="3" s="1"/>
  <c r="G203" i="3"/>
  <c r="H203" i="3" s="1"/>
  <c r="G200" i="3"/>
  <c r="H200" i="3" s="1"/>
  <c r="G205" i="3"/>
  <c r="H205" i="3" s="1"/>
  <c r="G204" i="3"/>
  <c r="H204" i="3" s="1"/>
  <c r="G207" i="3"/>
  <c r="H207" i="3" s="1"/>
  <c r="G206" i="3"/>
  <c r="H206" i="3" s="1"/>
  <c r="G208" i="3"/>
  <c r="H208" i="3" s="1"/>
  <c r="G209" i="3"/>
  <c r="H209" i="3" s="1"/>
  <c r="G210" i="3"/>
  <c r="H210" i="3" s="1"/>
  <c r="G212" i="3"/>
  <c r="H212" i="3" s="1"/>
  <c r="G214" i="3"/>
  <c r="H214" i="3" s="1"/>
  <c r="G213" i="3"/>
  <c r="H213" i="3" s="1"/>
  <c r="G211" i="3"/>
  <c r="H211" i="3" s="1"/>
  <c r="G215" i="3"/>
  <c r="H215" i="3" s="1"/>
  <c r="G216" i="3"/>
  <c r="H216" i="3" s="1"/>
  <c r="G217" i="3"/>
  <c r="H217" i="3" s="1"/>
  <c r="G218" i="3"/>
  <c r="H218" i="3" s="1"/>
  <c r="G219" i="3"/>
  <c r="H219" i="3" s="1"/>
  <c r="G220" i="3"/>
  <c r="H220" i="3" s="1"/>
  <c r="G222" i="3"/>
  <c r="H222" i="3" s="1"/>
  <c r="G223" i="3"/>
  <c r="H223" i="3" s="1"/>
  <c r="G224" i="3"/>
  <c r="H224" i="3" s="1"/>
  <c r="G221" i="3"/>
  <c r="H221" i="3" s="1"/>
  <c r="G225" i="3"/>
  <c r="H225" i="3" s="1"/>
  <c r="G226" i="3"/>
  <c r="H226" i="3" s="1"/>
  <c r="G227" i="3"/>
  <c r="H227" i="3" s="1"/>
  <c r="G228" i="3"/>
  <c r="H228" i="3" s="1"/>
  <c r="G229" i="3"/>
  <c r="H229" i="3" s="1"/>
  <c r="G230" i="3"/>
  <c r="H230" i="3" s="1"/>
  <c r="G231" i="3"/>
  <c r="H231" i="3" s="1"/>
  <c r="G232" i="3"/>
  <c r="H232" i="3" s="1"/>
  <c r="G233" i="3"/>
  <c r="H233" i="3" s="1"/>
  <c r="G235" i="3"/>
  <c r="H235" i="3" s="1"/>
  <c r="G236" i="3"/>
  <c r="H236" i="3" s="1"/>
  <c r="G237" i="3"/>
  <c r="H237" i="3" s="1"/>
  <c r="G234" i="3"/>
  <c r="H234" i="3" s="1"/>
  <c r="G239" i="3"/>
  <c r="H239" i="3" s="1"/>
  <c r="G240" i="3"/>
  <c r="H240" i="3" s="1"/>
  <c r="G241" i="3"/>
  <c r="H241" i="3" s="1"/>
  <c r="G238" i="3"/>
  <c r="H238" i="3" s="1"/>
  <c r="G243" i="3"/>
  <c r="H243" i="3" s="1"/>
  <c r="G244" i="3"/>
  <c r="H244" i="3" s="1"/>
  <c r="G245" i="3"/>
  <c r="H245" i="3" s="1"/>
  <c r="G242" i="3"/>
  <c r="H242" i="3" s="1"/>
  <c r="G246" i="3"/>
  <c r="H246" i="3"/>
  <c r="G247" i="3"/>
  <c r="H247" i="3" s="1"/>
  <c r="G248" i="3"/>
  <c r="H248" i="3" s="1"/>
  <c r="G251" i="3"/>
  <c r="H251" i="3" s="1"/>
  <c r="G250" i="3"/>
  <c r="H250" i="3" s="1"/>
  <c r="G249" i="3"/>
  <c r="H249" i="3" s="1"/>
  <c r="G253" i="3"/>
  <c r="H253" i="3" s="1"/>
  <c r="G252" i="3"/>
  <c r="H252" i="3" s="1"/>
  <c r="G254" i="3"/>
  <c r="H254" i="3" s="1"/>
  <c r="G255" i="3"/>
  <c r="H255" i="3" s="1"/>
  <c r="G256" i="3"/>
  <c r="H256" i="3" s="1"/>
  <c r="G257" i="3"/>
  <c r="H257" i="3" s="1"/>
  <c r="G259" i="3"/>
  <c r="H259" i="3" s="1"/>
  <c r="G260" i="3"/>
  <c r="H260" i="3" s="1"/>
  <c r="G258" i="3"/>
  <c r="H258" i="3" s="1"/>
  <c r="G262" i="3"/>
  <c r="H262" i="3" s="1"/>
  <c r="G263" i="3"/>
  <c r="H263" i="3" s="1"/>
  <c r="G261" i="3"/>
  <c r="H261" i="3" s="1"/>
  <c r="G264" i="3"/>
  <c r="H264" i="3" s="1"/>
  <c r="G266" i="3"/>
  <c r="H266" i="3" s="1"/>
  <c r="G267" i="3"/>
  <c r="H267" i="3" s="1"/>
  <c r="G265" i="3"/>
  <c r="H265" i="3"/>
  <c r="G268" i="3"/>
  <c r="H268" i="3" s="1"/>
  <c r="G269" i="3"/>
  <c r="H269" i="3" s="1"/>
  <c r="G270" i="3"/>
  <c r="H270" i="3" s="1"/>
  <c r="G271" i="3"/>
  <c r="H271" i="3" s="1"/>
  <c r="G273" i="3"/>
  <c r="H273" i="3" s="1"/>
  <c r="G274" i="3"/>
  <c r="H274" i="3" s="1"/>
  <c r="G272" i="3"/>
  <c r="H272" i="3" s="1"/>
  <c r="G275" i="3"/>
  <c r="H275" i="3" s="1"/>
  <c r="G276" i="3"/>
  <c r="H276" i="3" s="1"/>
  <c r="G277" i="3"/>
  <c r="H277" i="3" s="1"/>
  <c r="G278" i="3"/>
  <c r="H278" i="3" s="1"/>
  <c r="G279" i="3"/>
  <c r="H279" i="3" s="1"/>
  <c r="G280" i="3"/>
  <c r="H280" i="3" s="1"/>
  <c r="G281" i="3"/>
  <c r="H281" i="3"/>
  <c r="G282" i="3"/>
  <c r="H282" i="3" s="1"/>
  <c r="G283" i="3"/>
  <c r="H283" i="3" s="1"/>
  <c r="G284" i="3"/>
  <c r="H284" i="3" s="1"/>
  <c r="G285" i="3"/>
  <c r="H285" i="3" s="1"/>
  <c r="G286" i="3"/>
  <c r="H286" i="3" s="1"/>
  <c r="G288" i="3"/>
  <c r="H288" i="3" s="1"/>
  <c r="G289" i="3"/>
  <c r="H289" i="3" s="1"/>
  <c r="G287" i="3"/>
  <c r="H287" i="3" s="1"/>
  <c r="G290" i="3"/>
  <c r="H290" i="3" s="1"/>
  <c r="G291" i="3"/>
  <c r="H291" i="3" s="1"/>
  <c r="G293" i="3"/>
  <c r="H293" i="3"/>
  <c r="G292" i="3"/>
  <c r="H292" i="3" s="1"/>
  <c r="G294" i="3"/>
  <c r="H294" i="3"/>
  <c r="G295" i="3"/>
  <c r="H295" i="3" s="1"/>
  <c r="G296" i="3"/>
  <c r="H296" i="3" s="1"/>
  <c r="G297" i="3"/>
  <c r="H297" i="3" s="1"/>
  <c r="G298" i="3"/>
  <c r="H298" i="3" s="1"/>
  <c r="G299" i="3"/>
  <c r="H299" i="3" s="1"/>
  <c r="G300" i="3"/>
  <c r="H300" i="3" s="1"/>
  <c r="G301" i="3"/>
  <c r="H301" i="3" s="1"/>
  <c r="G302" i="3"/>
  <c r="H302" i="3" s="1"/>
  <c r="G303" i="3"/>
  <c r="H303" i="3"/>
  <c r="G304" i="3"/>
  <c r="H304" i="3" s="1"/>
  <c r="G305" i="3"/>
  <c r="H305" i="3" s="1"/>
  <c r="G306" i="3"/>
  <c r="H306" i="3" s="1"/>
  <c r="G307" i="3"/>
  <c r="H307" i="3" s="1"/>
  <c r="G308" i="3"/>
  <c r="H308" i="3" s="1"/>
  <c r="G309" i="3"/>
  <c r="H309" i="3"/>
  <c r="G310" i="3"/>
  <c r="H310" i="3" s="1"/>
  <c r="G311" i="3"/>
  <c r="H311" i="3" s="1"/>
  <c r="G312" i="3"/>
  <c r="H312" i="3" s="1"/>
  <c r="G313" i="3"/>
  <c r="H313" i="3" s="1"/>
  <c r="G314" i="3"/>
  <c r="H314" i="3" s="1"/>
  <c r="G315" i="3"/>
  <c r="H315" i="3" s="1"/>
  <c r="G316" i="3"/>
  <c r="H316" i="3" s="1"/>
  <c r="G317" i="3"/>
  <c r="H317" i="3" s="1"/>
  <c r="G318" i="3"/>
  <c r="H318" i="3" s="1"/>
  <c r="G320" i="3"/>
  <c r="H320" i="3" s="1"/>
  <c r="G319" i="3"/>
  <c r="H319" i="3" s="1"/>
  <c r="G321" i="3"/>
  <c r="H321" i="3" s="1"/>
  <c r="G322" i="3"/>
  <c r="H322" i="3"/>
  <c r="G323" i="3"/>
  <c r="H323" i="3" s="1"/>
  <c r="G324" i="3"/>
  <c r="H324" i="3" s="1"/>
  <c r="G325" i="3"/>
  <c r="H325" i="3" s="1"/>
  <c r="G326" i="3"/>
  <c r="H326" i="3" s="1"/>
  <c r="G327" i="3"/>
  <c r="H327" i="3" s="1"/>
  <c r="G328" i="3"/>
  <c r="H328" i="3" s="1"/>
  <c r="G329" i="3"/>
  <c r="H329" i="3" s="1"/>
  <c r="G330" i="3"/>
  <c r="H330" i="3" s="1"/>
  <c r="G331" i="3"/>
  <c r="H331" i="3" s="1"/>
  <c r="G332" i="3"/>
  <c r="H332" i="3" s="1"/>
  <c r="G333" i="3"/>
  <c r="H333" i="3" s="1"/>
  <c r="G334" i="3"/>
  <c r="H334" i="3" s="1"/>
  <c r="G335" i="3"/>
  <c r="H335" i="3" s="1"/>
  <c r="G336" i="3"/>
  <c r="H33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tc={43EB68C4-12D9-4ED7-977A-A80EE841BBE7}</author>
  </authors>
  <commentList>
    <comment ref="E239" authorId="0" shapeId="0" xr:uid="{43EB68C4-12D9-4ED7-977A-A80EE841BBE7}">
      <text>
        <t>[Threaded comment]
Your version of Excel allows you to read this threaded comment; however, any edits to it will get removed if the file is opened in a newer version of Excel. Learn more: https://go.microsoft.com/fwlink/?linkid=870924
Comment:
    Can't find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tc={AD48894E-BD39-4DCF-8764-8C8459231D02}</author>
    <author>tc={6C846AB9-32FD-4BF5-9A5F-2F79F91A2BD6}</author>
  </authors>
  <commentList>
    <comment ref="E87" authorId="0" shapeId="0" xr:uid="{AD48894E-BD39-4DCF-8764-8C8459231D02}">
      <text>
        <t>[Threaded comment]
Your version of Excel allows you to read this threaded comment; however, any edits to it will get removed if the file is opened in a newer version of Excel. Learn more: https://go.microsoft.com/fwlink/?linkid=870924
Comment:
    Olivia Titled it “Uneeded_LOOK_Traced_REA_INF023”. I looked and it looked good.</t>
      </text>
    </comment>
    <comment ref="E88" authorId="1" shapeId="0" xr:uid="{6C846AB9-32FD-4BF5-9A5F-2F79F91A2BD6}">
      <text>
        <t>[Threaded comment]
Your version of Excel allows you to read this threaded comment; however, any edits to it will get removed if the file is opened in a newer version of Excel. Learn more: https://go.microsoft.com/fwlink/?linkid=870924
Comment:
    Olivia Titled the REA “Uneeded_LOOK_Traced_REA_INF023”. I looked and it looked good. I would do BEG if REA did not look good</t>
      </text>
    </comment>
  </commentList>
</comments>
</file>

<file path=xl/sharedStrings.xml><?xml version="1.0" encoding="utf-8"?>
<sst xmlns="http://schemas.openxmlformats.org/spreadsheetml/2006/main" count="19835" uniqueCount="672">
  <si>
    <t>Subject number</t>
  </si>
  <si>
    <t>Record ID</t>
  </si>
  <si>
    <t>Cohort</t>
  </si>
  <si>
    <t>Group</t>
  </si>
  <si>
    <t>Sex</t>
  </si>
  <si>
    <t>Years of age at scan (max MRI age)</t>
  </si>
  <si>
    <t>Dataset number</t>
  </si>
  <si>
    <t>Subject's scan number</t>
  </si>
  <si>
    <t>Longitudinal data</t>
  </si>
  <si>
    <t>Follow-up</t>
  </si>
  <si>
    <t>Available dataset</t>
  </si>
  <si>
    <t>Useful longitudinal series</t>
  </si>
  <si>
    <t>Color code</t>
  </si>
  <si>
    <t>MRI Age</t>
  </si>
  <si>
    <t>MRI Retry 1</t>
  </si>
  <si>
    <t>MRI Retry 2</t>
  </si>
  <si>
    <t xml:space="preserve"> </t>
  </si>
  <si>
    <t>BB001</t>
  </si>
  <si>
    <t>INF</t>
  </si>
  <si>
    <t>M</t>
  </si>
  <si>
    <t>BB004</t>
  </si>
  <si>
    <t>BB006</t>
  </si>
  <si>
    <t>BB008</t>
  </si>
  <si>
    <t>BB012</t>
  </si>
  <si>
    <t>BB015</t>
  </si>
  <si>
    <t>F</t>
  </si>
  <si>
    <t>BB018</t>
  </si>
  <si>
    <t>BB022</t>
  </si>
  <si>
    <t>BB023</t>
  </si>
  <si>
    <t>BB028</t>
  </si>
  <si>
    <t>BB029</t>
  </si>
  <si>
    <t>BB032</t>
  </si>
  <si>
    <t>BB034</t>
  </si>
  <si>
    <t>BB038</t>
  </si>
  <si>
    <t>BB039</t>
  </si>
  <si>
    <t>BB042</t>
  </si>
  <si>
    <t>BB043</t>
  </si>
  <si>
    <t>BB044</t>
  </si>
  <si>
    <t>BB045</t>
  </si>
  <si>
    <t>BB046</t>
  </si>
  <si>
    <t>BB048</t>
  </si>
  <si>
    <t>BB049</t>
  </si>
  <si>
    <t>BB052</t>
  </si>
  <si>
    <t>BB053</t>
  </si>
  <si>
    <t>BB054</t>
  </si>
  <si>
    <t>BB055</t>
  </si>
  <si>
    <t>BB056</t>
  </si>
  <si>
    <t>BB058</t>
  </si>
  <si>
    <t>BB060</t>
  </si>
  <si>
    <t>BB062</t>
  </si>
  <si>
    <t>BB064</t>
  </si>
  <si>
    <t>BB066</t>
  </si>
  <si>
    <t>BB068</t>
  </si>
  <si>
    <t>BB070</t>
  </si>
  <si>
    <t>BB073</t>
  </si>
  <si>
    <t>bb075</t>
  </si>
  <si>
    <t>BB077</t>
  </si>
  <si>
    <t>BB079</t>
  </si>
  <si>
    <t>BB081</t>
  </si>
  <si>
    <t>BB082</t>
  </si>
  <si>
    <t>BB083</t>
  </si>
  <si>
    <t>BB084</t>
  </si>
  <si>
    <t>BB085</t>
  </si>
  <si>
    <t>BB086</t>
  </si>
  <si>
    <t>BB089</t>
  </si>
  <si>
    <t>BB090</t>
  </si>
  <si>
    <t>BB091</t>
  </si>
  <si>
    <t>BB092</t>
  </si>
  <si>
    <t>BB093</t>
  </si>
  <si>
    <t>BB096</t>
  </si>
  <si>
    <t>BB097</t>
  </si>
  <si>
    <t>BB099</t>
  </si>
  <si>
    <t>BB101</t>
  </si>
  <si>
    <t>BB102</t>
  </si>
  <si>
    <t>bb104</t>
  </si>
  <si>
    <t>BB105</t>
  </si>
  <si>
    <t>BB106</t>
  </si>
  <si>
    <t>BB107</t>
  </si>
  <si>
    <t>BB109</t>
  </si>
  <si>
    <t>BB110</t>
  </si>
  <si>
    <t>BB112</t>
  </si>
  <si>
    <t>BB113</t>
  </si>
  <si>
    <t>BB114</t>
  </si>
  <si>
    <t>TOD</t>
  </si>
  <si>
    <t>BB115</t>
  </si>
  <si>
    <t>BB116</t>
  </si>
  <si>
    <t>BB118</t>
  </si>
  <si>
    <t>BB120</t>
  </si>
  <si>
    <t>BB122</t>
  </si>
  <si>
    <t>INF001</t>
  </si>
  <si>
    <t>INF004</t>
  </si>
  <si>
    <t>INF006</t>
  </si>
  <si>
    <t>INF008</t>
  </si>
  <si>
    <t>INF009</t>
  </si>
  <si>
    <t>INF014</t>
  </si>
  <si>
    <t>INF027</t>
  </si>
  <si>
    <t>INF028</t>
  </si>
  <si>
    <t>INF036</t>
  </si>
  <si>
    <t>INF038</t>
  </si>
  <si>
    <t>INF039</t>
  </si>
  <si>
    <t>INF040</t>
  </si>
  <si>
    <t>INF047</t>
  </si>
  <si>
    <t>INF049</t>
  </si>
  <si>
    <t>INF050</t>
  </si>
  <si>
    <t>INF051</t>
  </si>
  <si>
    <t>INF052</t>
  </si>
  <si>
    <t>INF056</t>
  </si>
  <si>
    <t>INF064</t>
  </si>
  <si>
    <t>BB002</t>
  </si>
  <si>
    <t>BB003</t>
  </si>
  <si>
    <t>BB005</t>
  </si>
  <si>
    <t>BB007</t>
  </si>
  <si>
    <t>BB009</t>
  </si>
  <si>
    <t>BB010</t>
  </si>
  <si>
    <t>BB011</t>
  </si>
  <si>
    <t>BB013</t>
  </si>
  <si>
    <t>BB014</t>
  </si>
  <si>
    <t>BB016</t>
  </si>
  <si>
    <t>BB017</t>
  </si>
  <si>
    <t>BB019</t>
  </si>
  <si>
    <t>BB020</t>
  </si>
  <si>
    <t>BB021</t>
  </si>
  <si>
    <t>BB024</t>
  </si>
  <si>
    <t>BB025</t>
  </si>
  <si>
    <t>BB026</t>
  </si>
  <si>
    <t>BB027</t>
  </si>
  <si>
    <t>BB030</t>
  </si>
  <si>
    <t>BB031</t>
  </si>
  <si>
    <t>BB033</t>
  </si>
  <si>
    <t>BB035</t>
  </si>
  <si>
    <t>BB036</t>
  </si>
  <si>
    <t>BB037</t>
  </si>
  <si>
    <t>BB040</t>
  </si>
  <si>
    <t>BB041</t>
  </si>
  <si>
    <t>BB047</t>
  </si>
  <si>
    <t>BB050</t>
  </si>
  <si>
    <t>BB051</t>
  </si>
  <si>
    <t>BB057</t>
  </si>
  <si>
    <t>BB059</t>
  </si>
  <si>
    <t>BB061</t>
  </si>
  <si>
    <t>BB063</t>
  </si>
  <si>
    <t>BB065</t>
  </si>
  <si>
    <t>BB067</t>
  </si>
  <si>
    <t>BB069</t>
  </si>
  <si>
    <t>BB071</t>
  </si>
  <si>
    <t>BB072</t>
  </si>
  <si>
    <t>BB074</t>
  </si>
  <si>
    <t>BB076</t>
  </si>
  <si>
    <t>BB078</t>
  </si>
  <si>
    <t>BB080</t>
  </si>
  <si>
    <t>BB087</t>
  </si>
  <si>
    <t>BB088</t>
  </si>
  <si>
    <t>BB094</t>
  </si>
  <si>
    <t>BB095</t>
  </si>
  <si>
    <t>BB098</t>
  </si>
  <si>
    <t>BB100</t>
  </si>
  <si>
    <t>BB108</t>
  </si>
  <si>
    <t>BB111</t>
  </si>
  <si>
    <t>BB117</t>
  </si>
  <si>
    <t>BB119</t>
  </si>
  <si>
    <t>INF002</t>
  </si>
  <si>
    <t>PRE</t>
  </si>
  <si>
    <t>BEG</t>
  </si>
  <si>
    <t>INF003</t>
  </si>
  <si>
    <t>REA</t>
  </si>
  <si>
    <t>INF005</t>
  </si>
  <si>
    <t>INF007</t>
  </si>
  <si>
    <t>INF010</t>
  </si>
  <si>
    <t>INF011</t>
  </si>
  <si>
    <t>INF012</t>
  </si>
  <si>
    <t>INF013</t>
  </si>
  <si>
    <t>INF015</t>
  </si>
  <si>
    <t>INF016</t>
  </si>
  <si>
    <t>INF017</t>
  </si>
  <si>
    <t>INF018</t>
  </si>
  <si>
    <t>INF019</t>
  </si>
  <si>
    <t>INF020</t>
  </si>
  <si>
    <t>INF021</t>
  </si>
  <si>
    <t>INF022</t>
  </si>
  <si>
    <t>INF023</t>
  </si>
  <si>
    <t>INF024</t>
  </si>
  <si>
    <t>INF025</t>
  </si>
  <si>
    <t>INF026</t>
  </si>
  <si>
    <t>INF029</t>
  </si>
  <si>
    <t>INF030</t>
  </si>
  <si>
    <t>INF031</t>
  </si>
  <si>
    <t>INF032</t>
  </si>
  <si>
    <t>INF033</t>
  </si>
  <si>
    <t>INF034</t>
  </si>
  <si>
    <t>INF035</t>
  </si>
  <si>
    <t>INF037</t>
  </si>
  <si>
    <t>INF041</t>
  </si>
  <si>
    <t>INF042</t>
  </si>
  <si>
    <t>INF043</t>
  </si>
  <si>
    <t>INF044</t>
  </si>
  <si>
    <t>INF045</t>
  </si>
  <si>
    <t>INF046</t>
  </si>
  <si>
    <t>INF048</t>
  </si>
  <si>
    <t>INF053</t>
  </si>
  <si>
    <t>INF054</t>
  </si>
  <si>
    <t>INF055</t>
  </si>
  <si>
    <t>INF057</t>
  </si>
  <si>
    <t>INF058</t>
  </si>
  <si>
    <t>INF059</t>
  </si>
  <si>
    <t>INF060</t>
  </si>
  <si>
    <t>INF061</t>
  </si>
  <si>
    <t>INF062</t>
  </si>
  <si>
    <t>INF063</t>
  </si>
  <si>
    <t>* Orthographic is better for tracing</t>
  </si>
  <si>
    <r>
      <rPr>
        <b/>
        <sz val="11"/>
        <color rgb="FF000000"/>
        <rFont val="Aptos Narrow"/>
        <scheme val="minor"/>
      </rPr>
      <t xml:space="preserve">General for Pial:
</t>
    </r>
    <r>
      <rPr>
        <sz val="11"/>
        <color rgb="FF000000"/>
        <rFont val="Aptos Narrow"/>
        <scheme val="minor"/>
      </rPr>
      <t xml:space="preserve">- Perform tarcings without Surface Overlay
- Keep as centered as possible
- Stay on hull as often as posisble. If the gyri are too close, try to stay on hull or then go on gyri
- Start and end tracings on corner of hull and gyrus
- If needed, you caa take off the pial surface to see
- When there's a bifurcation, start/end in the center. Do not follow a path. If one side los like bend and major path, follow that one.
</t>
    </r>
    <r>
      <rPr>
        <b/>
        <sz val="11"/>
        <color rgb="FF000000"/>
        <rFont val="Aptos Narrow"/>
        <scheme val="minor"/>
      </rPr>
      <t xml:space="preserve">General for white:
</t>
    </r>
    <r>
      <rPr>
        <sz val="11"/>
        <color rgb="FF000000"/>
        <rFont val="Aptos Narrow"/>
        <scheme val="minor"/>
      </rPr>
      <t>- When jumping, put point at top of gyrus, then continue on next green
- Follow the curve, using the surface with edges</t>
    </r>
  </si>
  <si>
    <t>Tracing</t>
  </si>
  <si>
    <t>Notes</t>
  </si>
  <si>
    <t>Direction</t>
  </si>
  <si>
    <t>Abreviation</t>
  </si>
  <si>
    <t>Ascending ramus of the lateral sulcus</t>
  </si>
  <si>
    <t>*Complete after doing the Lateral Sulcus
- Start on line of lateral sulcus.
- starts at same point at Horizontal ramus</t>
  </si>
  <si>
    <t xml:space="preserve">[si] </t>
  </si>
  <si>
    <t>lh_pi_ar</t>
  </si>
  <si>
    <t>Cerebrum-cerebellum delimitation</t>
  </si>
  <si>
    <t xml:space="preserve">*Turn down hull opactity to see where hemispheres of cerebellum meet. Start there. Follow centrally between the cerebellum and cortex anteriorally and laterally. When the cerebellum meets the hull, take the hull off, and continue on the cerebellum. End it where the cerebellum ends and meets the brainstem. </t>
  </si>
  <si>
    <t>[ap], [ml]</t>
  </si>
  <si>
    <t>lh_pi_cb</t>
  </si>
  <si>
    <t>Central sulcus</t>
  </si>
  <si>
    <t>*Start with convex_hull off. Place in the cul-de-sac.
- Add hull again and continue as normal
- Usually the right one is more anterior than the one on the left hemisphere</t>
  </si>
  <si>
    <t>[si], [ml]</t>
  </si>
  <si>
    <t>lh_pi_ce</t>
  </si>
  <si>
    <t>Horizontal ramus of the lateral sulcus</t>
  </si>
  <si>
    <t>*Complete after doing the Lateral Sulcus
- Start on line of lateral sulcus.
- starts at same point as ascending ramus</t>
  </si>
  <si>
    <t>lh_pi_hr</t>
  </si>
  <si>
    <t>Inferior frontal sulcus</t>
  </si>
  <si>
    <t>*Complete after already doing the Precentral sulcus
- Start on line of precentral sulcus tracing</t>
  </si>
  <si>
    <t>[pa]</t>
  </si>
  <si>
    <t>lh_pi_if</t>
  </si>
  <si>
    <t>Intraparietal sulcus</t>
  </si>
  <si>
    <t>*Complete after already doing the Postcentral sulcus
- Start on line of post central sulcus tracing.
- If bifurcation, end in central. Or if one is bigger, go that way and keep it consistent.</t>
  </si>
  <si>
    <t>[ap]</t>
  </si>
  <si>
    <t>lh_pi_ip</t>
  </si>
  <si>
    <t>Inferior temporal sulcus</t>
  </si>
  <si>
    <t>*Do it referencing the Overlay. Do it in between the brown and the purple. Start all the way to the left in the surface with edges, even if its red</t>
  </si>
  <si>
    <t>lh_pi_it</t>
  </si>
  <si>
    <t>Lateral sulcus</t>
  </si>
  <si>
    <t>*Take the hull off. Put Surface overlay on. Start at he intersection of the midbrain (should look yellow and blue). 
- Continue on the temporal lobe until you get to the hull. Then continue on the hull. Go all the way to the green</t>
  </si>
  <si>
    <t>lh_pi_la</t>
  </si>
  <si>
    <t>Olfactory sulcus</t>
  </si>
  <si>
    <t>lh_pi_of</t>
  </si>
  <si>
    <t>Precentral sulcus</t>
  </si>
  <si>
    <t>*May Start with bifurcation
- You will need to jump gyri. Place one point on top of gyrus when jumping.</t>
  </si>
  <si>
    <t>lh_pi_pc</t>
  </si>
  <si>
    <t xml:space="preserve">Parietooccipital sulcus </t>
  </si>
  <si>
    <t>Start at the intersection of pl and ol</t>
  </si>
  <si>
    <t>[ml], [ap]</t>
  </si>
  <si>
    <t>lh_pi_po</t>
  </si>
  <si>
    <t>Postcentral sulcus</t>
  </si>
  <si>
    <t>*Self explanatory</t>
  </si>
  <si>
    <t>lh_pi_pt</t>
  </si>
  <si>
    <t>Superior frontal sulcus</t>
  </si>
  <si>
    <t>lh_pi_sf</t>
  </si>
  <si>
    <t>Superior temporal sulcus</t>
  </si>
  <si>
    <t>*May need to jump. Should be right below the lateral sulcus. If there is bifurcation stop in center. End before the purple</t>
  </si>
  <si>
    <t>lh_pi_st</t>
  </si>
  <si>
    <t>* Will start at the same point as th ehorizontal ramus</t>
  </si>
  <si>
    <t>[si]</t>
  </si>
  <si>
    <t>lh_wh_ar</t>
  </si>
  <si>
    <t>Calcarine sulcus</t>
  </si>
  <si>
    <t>* Starts with parietal occipital</t>
  </si>
  <si>
    <t>lh_wh_ca</t>
  </si>
  <si>
    <t>lh_wh_ce</t>
  </si>
  <si>
    <t>Cingulate sulcus</t>
  </si>
  <si>
    <t>*USe pial surface to help</t>
  </si>
  <si>
    <t>lh_wh_ci</t>
  </si>
  <si>
    <t>Corpus callosum</t>
  </si>
  <si>
    <t>*Go from green to green</t>
  </si>
  <si>
    <t>lh_wh_co</t>
  </si>
  <si>
    <t>* Will start at the same point as the ascending ramus</t>
  </si>
  <si>
    <t>lh_wh_hr</t>
  </si>
  <si>
    <t>lh_wh_if</t>
  </si>
  <si>
    <t>*Complete after already doing the Postcentral sulcus
- Start on line of postcentral sulcus tracing</t>
  </si>
  <si>
    <t>lh_wh_ip</t>
  </si>
  <si>
    <t>* You will need to jump. When you jump add a point to the top (on the red) and then continue to the next green</t>
  </si>
  <si>
    <t>lh_wh_it</t>
  </si>
  <si>
    <t>*Start on the inside of the brain, work towards normal temporal sulcus
- You will need to jump. When you jump add a point to the top (on the red) and then continue to the next green
- Toggle out of orthographic</t>
  </si>
  <si>
    <t>lh_wh_la</t>
  </si>
  <si>
    <t>*Do it from green to green</t>
  </si>
  <si>
    <t>lh_wh_of</t>
  </si>
  <si>
    <t>lh_wh_pc</t>
  </si>
  <si>
    <t>* Starts on the inside
- Goes pretty deep</t>
  </si>
  <si>
    <t>[pa], [is]</t>
  </si>
  <si>
    <t>lh_wh_po</t>
  </si>
  <si>
    <t>lh_wh_pt</t>
  </si>
  <si>
    <t>lh_wh_sf</t>
  </si>
  <si>
    <t>* You will need to jump. When you jump add a point to the top (on the red) and then continue to the next green
- If it ends with bifurcation, end it in the middle</t>
  </si>
  <si>
    <t>lh_wh_st</t>
  </si>
  <si>
    <t>Frontal lobe segment of the medial longitudinal fissure</t>
  </si>
  <si>
    <t>*start at the central sulcus
- Continue to the anterior portion. When it becomes horizontal, take the hull off, and continue without hull until the olafactory gyrus ends. Continue on th left hemiphere</t>
  </si>
  <si>
    <t>pi_fl</t>
  </si>
  <si>
    <t>Occipital lobe segment of the medial longitudinal fissure</t>
  </si>
  <si>
    <t>*Start at the same points at the cerebellum. Should have 3 starting points there
- End at the midpoint of the parietocipital sulci. One may be more anterior than the other</t>
  </si>
  <si>
    <t>pi_ol</t>
  </si>
  <si>
    <t>Parietal lobe segment of the medial longitudinal fissure</t>
  </si>
  <si>
    <t>*Fill in space between occipital and frontal</t>
  </si>
  <si>
    <t>pi_pl</t>
  </si>
  <si>
    <t>rh_pi_ar</t>
  </si>
  <si>
    <t>rh_pi_cb</t>
  </si>
  <si>
    <t>rh_pi_ce</t>
  </si>
  <si>
    <t>rh_pi_hr</t>
  </si>
  <si>
    <t>rh_pi_if</t>
  </si>
  <si>
    <t>rh_pi_ip</t>
  </si>
  <si>
    <t>rh_pi_it</t>
  </si>
  <si>
    <t>rh_pi_la</t>
  </si>
  <si>
    <t>rh_pi_of</t>
  </si>
  <si>
    <t>rh_pi_pc</t>
  </si>
  <si>
    <t>rh_pi_po</t>
  </si>
  <si>
    <t>rh_pi_pt</t>
  </si>
  <si>
    <t>rh_pi_sf</t>
  </si>
  <si>
    <t>rh_pi_st</t>
  </si>
  <si>
    <t>rh_wh_ar</t>
  </si>
  <si>
    <t>rh_wh_ca</t>
  </si>
  <si>
    <t>rh_wh_ce</t>
  </si>
  <si>
    <t>rh_wh_ci</t>
  </si>
  <si>
    <t>rh_wh_co</t>
  </si>
  <si>
    <t>rh_wh_hr</t>
  </si>
  <si>
    <t>rh_wh_if</t>
  </si>
  <si>
    <t>rh_wh_ip</t>
  </si>
  <si>
    <t>rh_wh_it</t>
  </si>
  <si>
    <t>rh_wh_la</t>
  </si>
  <si>
    <t>rh_wh_of</t>
  </si>
  <si>
    <t>rh_wh_pc</t>
  </si>
  <si>
    <t>rh_wh_po</t>
  </si>
  <si>
    <t>rh_wh_pt</t>
  </si>
  <si>
    <t>rh_wh_sf</t>
  </si>
  <si>
    <t>rh_wh_st</t>
  </si>
  <si>
    <t>Done?</t>
  </si>
  <si>
    <t>Confidence (1-5)</t>
  </si>
  <si>
    <t>Peculiarities/questions</t>
  </si>
  <si>
    <t>Emma</t>
  </si>
  <si>
    <t>[is]. [ml]</t>
  </si>
  <si>
    <t>Doesn't exist</t>
  </si>
  <si>
    <t>Placed 2 close dots</t>
  </si>
  <si>
    <t>path</t>
  </si>
  <si>
    <t>Can't tell if hr or ar</t>
  </si>
  <si>
    <t>[ml]</t>
  </si>
  <si>
    <t>Ending</t>
  </si>
  <si>
    <t>weird</t>
  </si>
  <si>
    <t>Barely developed</t>
  </si>
  <si>
    <t>Just followed white, but don't know if white is right</t>
  </si>
  <si>
    <t>Weird</t>
  </si>
  <si>
    <t>How far deep do I go</t>
  </si>
  <si>
    <t>Might wiggle more than that other times</t>
  </si>
  <si>
    <t>Weird. Barely developed</t>
  </si>
  <si>
    <t>I feel like I've been going upwards and not ending centrally for others</t>
  </si>
  <si>
    <t>Where to switch</t>
  </si>
  <si>
    <t>No green to show where to end</t>
  </si>
  <si>
    <t>Good path?</t>
  </si>
  <si>
    <t>Bifurcation</t>
  </si>
  <si>
    <t>Went in middle</t>
  </si>
  <si>
    <t>Stop earlier or elsewhere?</t>
  </si>
  <si>
    <t>It's pretty clear, but on others I stoped where the purple started and didn't go all the way up</t>
  </si>
  <si>
    <t>can't tell if hr or ar. Still traced</t>
  </si>
  <si>
    <t>Jumping</t>
  </si>
  <si>
    <t>start point</t>
  </si>
  <si>
    <t>can't tell if hr or ar</t>
  </si>
  <si>
    <t>Unsure since it wasn't in TOD. Placed after talking with luis.</t>
  </si>
  <si>
    <t>Brain very diagonal</t>
  </si>
  <si>
    <t>Start</t>
  </si>
  <si>
    <t>Started to the right</t>
  </si>
  <si>
    <t>Continued up</t>
  </si>
  <si>
    <t>id the closest one</t>
  </si>
  <si>
    <t>Just followed TOD</t>
  </si>
  <si>
    <t>Started on the lower option</t>
  </si>
  <si>
    <t>A lot red</t>
  </si>
  <si>
    <t>Very ambiguous. Just followed TOD</t>
  </si>
  <si>
    <t>can't tell if ar or hr</t>
  </si>
  <si>
    <t>doesn't exist</t>
  </si>
  <si>
    <t>It is always difficult</t>
  </si>
  <si>
    <t>weird shape</t>
  </si>
  <si>
    <t>jumping</t>
  </si>
  <si>
    <t>Sometimes might use other option that is more superior</t>
  </si>
  <si>
    <t>start</t>
  </si>
  <si>
    <t>Should I do the one closer to the central</t>
  </si>
  <si>
    <t>Which path to take and when to jump</t>
  </si>
  <si>
    <t>Pial different than white/surface overlay says other than pial</t>
  </si>
  <si>
    <t>Path</t>
  </si>
  <si>
    <t>ending</t>
  </si>
  <si>
    <t>trace?</t>
  </si>
  <si>
    <t>Is it considered there? No green. Pial has a little</t>
  </si>
  <si>
    <t>good</t>
  </si>
  <si>
    <t>Is it considered there? No green. Pial has a little. Ended up tracing</t>
  </si>
  <si>
    <t>Placed 2 close points</t>
  </si>
  <si>
    <t>Followed TOD. Feel like dif path</t>
  </si>
  <si>
    <t>Would end sooner but followed TOD</t>
  </si>
  <si>
    <t>Just followed TOD. Feel like might end later</t>
  </si>
  <si>
    <t>just followed TOD</t>
  </si>
  <si>
    <t>Trace?</t>
  </si>
  <si>
    <t>Ended up tracing</t>
  </si>
  <si>
    <t>Is it there? I ended up tracing it</t>
  </si>
  <si>
    <t>It's very subtle</t>
  </si>
  <si>
    <t>I feel like I would end later</t>
  </si>
  <si>
    <t>Feel like somethimes id go on the lower track</t>
  </si>
  <si>
    <t>Can't tell if ar or hr. Called ar</t>
  </si>
  <si>
    <t>Followed wh. Feel like might end earlier</t>
  </si>
  <si>
    <t>How high should I start? Did I start too high?</t>
  </si>
  <si>
    <t>Ended in middle</t>
  </si>
  <si>
    <t>Hole</t>
  </si>
  <si>
    <t>Went around it. Good?</t>
  </si>
  <si>
    <t>Do I go medial? I stopped in middle</t>
  </si>
  <si>
    <t>Should I stat later?</t>
  </si>
  <si>
    <t>Start is difficult. Jumping weird</t>
  </si>
  <si>
    <t>No clear path. Just went straight up</t>
  </si>
  <si>
    <t>Bifurcation. Started in middle</t>
  </si>
  <si>
    <t>Bifurcation. Looks like it can go up, but I stopped in middle</t>
  </si>
  <si>
    <t>copied wh</t>
  </si>
  <si>
    <t>Wall</t>
  </si>
  <si>
    <t>Went around it. Followed TOD</t>
  </si>
  <si>
    <t>only developed second half</t>
  </si>
  <si>
    <t>Followed TOD</t>
  </si>
  <si>
    <t>Bifurcation. Ended in middle</t>
  </si>
  <si>
    <t>Followed wh</t>
  </si>
  <si>
    <t>Unique ending</t>
  </si>
  <si>
    <t>Difficult start and end, jumping</t>
  </si>
  <si>
    <t>Not green but started in red</t>
  </si>
  <si>
    <t>Winds</t>
  </si>
  <si>
    <t>Should I follow wh and end earlier?</t>
  </si>
  <si>
    <t>Start and end are long</t>
  </si>
  <si>
    <t>Ended far</t>
  </si>
  <si>
    <t>Placed two close dots</t>
  </si>
  <si>
    <t>Underdeveloped. Followed TOD</t>
  </si>
  <si>
    <t>Barely developed. Still traced</t>
  </si>
  <si>
    <t>Ended eaarlier</t>
  </si>
  <si>
    <t>followed wh</t>
  </si>
  <si>
    <t>Went above</t>
  </si>
  <si>
    <t>ended sooner</t>
  </si>
  <si>
    <t>Barely exists</t>
  </si>
  <si>
    <t>Traced</t>
  </si>
  <si>
    <t>There are 3. Chose the outer 2</t>
  </si>
  <si>
    <t>Stopped in middle</t>
  </si>
  <si>
    <t>Continued all the way</t>
  </si>
  <si>
    <t>Different path than wh</t>
  </si>
  <si>
    <t>Copied wh</t>
  </si>
  <si>
    <t xml:space="preserve"> Path</t>
  </si>
  <si>
    <t>Path (three options)</t>
  </si>
  <si>
    <t>Exists in pi but not wh</t>
  </si>
  <si>
    <t>should go all way up? I did</t>
  </si>
  <si>
    <t>Went all the way</t>
  </si>
  <si>
    <t>Continued middle to end</t>
  </si>
  <si>
    <t>Stopped on hull, followed wh</t>
  </si>
  <si>
    <t>Went all the way, followed TOD</t>
  </si>
  <si>
    <t>Only second half develoepd. Traced</t>
  </si>
  <si>
    <t>Started on green</t>
  </si>
  <si>
    <t>Ended when green ended</t>
  </si>
  <si>
    <t>Ended earlier</t>
  </si>
  <si>
    <t>Should I trace? I did</t>
  </si>
  <si>
    <t>Small in pi but doesn't exist in wh. Did not trace</t>
  </si>
  <si>
    <t>Start and end good?</t>
  </si>
  <si>
    <t>Barely developed. Mushy with other 2</t>
  </si>
  <si>
    <t>3 options. Chose most right one</t>
  </si>
  <si>
    <t>Barely develoed. Confusing</t>
  </si>
  <si>
    <t>Barely develoed</t>
  </si>
  <si>
    <t>Intersection above hull, bumpy</t>
  </si>
  <si>
    <t>Does not exist</t>
  </si>
  <si>
    <t>Start is undefined/no red all green</t>
  </si>
  <si>
    <t>under developed/mushy. Tried my best</t>
  </si>
  <si>
    <t>Only second part developed</t>
  </si>
  <si>
    <t>End</t>
  </si>
  <si>
    <t>Undefined/mushes into st</t>
  </si>
  <si>
    <t>second half all red, stopped at green</t>
  </si>
  <si>
    <t>Undefined/mushes into la</t>
  </si>
  <si>
    <t>Barely developed. Confusing</t>
  </si>
  <si>
    <t>traced</t>
  </si>
  <si>
    <t>Barely/Doesn't not exist</t>
  </si>
  <si>
    <t>Traced short amount</t>
  </si>
  <si>
    <t>Mushy</t>
  </si>
  <si>
    <t>When to end? Mushy. Ended later</t>
  </si>
  <si>
    <t>3 options for ar/hr</t>
  </si>
  <si>
    <t>Chose outer 2</t>
  </si>
  <si>
    <t>Followed surface overlay as discussed</t>
  </si>
  <si>
    <t>Continued to bifurcation. Looked like could end earlier though</t>
  </si>
  <si>
    <t xml:space="preserve">Ending </t>
  </si>
  <si>
    <t>Weird ending. Middle of bifurcation</t>
  </si>
  <si>
    <t>3 options for ar/hr (copied TOD)</t>
  </si>
  <si>
    <t>Path (copied TOD)</t>
  </si>
  <si>
    <t>Ending (copied TOD)</t>
  </si>
  <si>
    <t>Trace jumps off hull</t>
  </si>
  <si>
    <t>Continued anterior rather than inferior</t>
  </si>
  <si>
    <t>Traced. Is it good?</t>
  </si>
  <si>
    <t>Bad sf if separation</t>
  </si>
  <si>
    <t>Pial pressed together</t>
  </si>
  <si>
    <t>Started later</t>
  </si>
  <si>
    <t>Looked at pi</t>
  </si>
  <si>
    <t>Ended later</t>
  </si>
  <si>
    <t>Not developed well</t>
  </si>
  <si>
    <t>bifurcation</t>
  </si>
  <si>
    <t>Not defined well/developed strongly</t>
  </si>
  <si>
    <t>took the closer path</t>
  </si>
  <si>
    <t>Intersects with St</t>
  </si>
  <si>
    <t>Ending/path</t>
  </si>
  <si>
    <t>Should I end earlier? Intersects with ip</t>
  </si>
  <si>
    <t>Started on left</t>
  </si>
  <si>
    <t>Still developing</t>
  </si>
  <si>
    <t>Pial squished</t>
  </si>
  <si>
    <t>Confident to follow white, but not sure if white is right</t>
  </si>
  <si>
    <t>Start (started on right) and continued higher/further out</t>
  </si>
  <si>
    <t>bifurcation. Ended in middle</t>
  </si>
  <si>
    <t>Followed segmentation</t>
  </si>
  <si>
    <t>Bifurcation in middle, went in middle</t>
  </si>
  <si>
    <t>Went further out</t>
  </si>
  <si>
    <t>Continued all way up. Should stop at bifurcation?</t>
  </si>
  <si>
    <t>More clear than the sf, but sf makes It confusing</t>
  </si>
  <si>
    <t>Continued anterior</t>
  </si>
  <si>
    <t>Went higher and ended earlier</t>
  </si>
  <si>
    <t>Very small</t>
  </si>
  <si>
    <t>Squished pial</t>
  </si>
  <si>
    <t>Had to go on top of pial rather than hull</t>
  </si>
  <si>
    <t>took a lot of time to get it on the hull</t>
  </si>
  <si>
    <t>Is the hull section ok?</t>
  </si>
  <si>
    <t>Starting point and second point</t>
  </si>
  <si>
    <t>Confused</t>
  </si>
  <si>
    <t>When to stop?</t>
  </si>
  <si>
    <t>Bumpy</t>
  </si>
  <si>
    <t>Ending ok?</t>
  </si>
  <si>
    <t>ending ok?</t>
  </si>
  <si>
    <t>Jumping ok?</t>
  </si>
  <si>
    <t>Difficult to get to same spot because so far from eachother</t>
  </si>
  <si>
    <t>Should I have stopped earlier and not have gone up</t>
  </si>
  <si>
    <t>Do I end at the green?</t>
  </si>
  <si>
    <t>Should I continue to the right sulcus?</t>
  </si>
  <si>
    <t>Path ended early, should I continue to top that finishes later</t>
  </si>
  <si>
    <t>ended early</t>
  </si>
  <si>
    <t>Path/Bifurcations</t>
  </si>
  <si>
    <t>Beginning bifurcation and middle bifurcation. Went right and left, respectively</t>
  </si>
  <si>
    <t>Started in middle</t>
  </si>
  <si>
    <t>Not very clear, looked at BEG</t>
  </si>
  <si>
    <t>Did not follow BEG. Continued all the way</t>
  </si>
  <si>
    <t>Pial is squished</t>
  </si>
  <si>
    <t>Had to place poins on top of pial instead of on hull</t>
  </si>
  <si>
    <t>Artifact</t>
  </si>
  <si>
    <t>Placed points to go through artifact</t>
  </si>
  <si>
    <t>3 options</t>
  </si>
  <si>
    <t>chose the outer 2</t>
  </si>
  <si>
    <t>3 options ar/hr</t>
  </si>
  <si>
    <t>chose outer 2</t>
  </si>
  <si>
    <t>Two bifurcations, went anterior</t>
  </si>
  <si>
    <t>pial is squished</t>
  </si>
  <si>
    <t>Placed on top of pial instead of on hull</t>
  </si>
  <si>
    <t>Start and ending could be different</t>
  </si>
  <si>
    <t>Placed  on pial</t>
  </si>
  <si>
    <t>Placed on top of pial</t>
  </si>
  <si>
    <t>Stopped earlier to match st</t>
  </si>
  <si>
    <t>Could continue all way up but ended</t>
  </si>
  <si>
    <t>months</t>
  </si>
  <si>
    <t>Name</t>
  </si>
  <si>
    <t>Segmentations</t>
  </si>
  <si>
    <t>Left pial</t>
  </si>
  <si>
    <t>Left white</t>
  </si>
  <si>
    <t>Right pial</t>
  </si>
  <si>
    <t>Right white</t>
  </si>
  <si>
    <t>Luis Checked</t>
  </si>
  <si>
    <t>TOD_BB025</t>
  </si>
  <si>
    <t>no ar</t>
  </si>
  <si>
    <t>weird ar, hr barely developed</t>
  </si>
  <si>
    <t>INF_BB025</t>
  </si>
  <si>
    <t>no ar, no of</t>
  </si>
  <si>
    <t>no of</t>
  </si>
  <si>
    <t>TOD_BB026</t>
  </si>
  <si>
    <t>INF_BB026</t>
  </si>
  <si>
    <t>TOD_BB030</t>
  </si>
  <si>
    <t>no hr</t>
  </si>
  <si>
    <t>INF_BB030</t>
  </si>
  <si>
    <t>no hr, no of</t>
  </si>
  <si>
    <t>TOD_BB031</t>
  </si>
  <si>
    <t>still developing of</t>
  </si>
  <si>
    <t>INF_BB031</t>
  </si>
  <si>
    <t>traced of but weird</t>
  </si>
  <si>
    <t>TOD_BB037</t>
  </si>
  <si>
    <t>subtle of traced</t>
  </si>
  <si>
    <t>INF_BB037</t>
  </si>
  <si>
    <t>TOD_BB041</t>
  </si>
  <si>
    <t>No hr</t>
  </si>
  <si>
    <t>INF_BB041</t>
  </si>
  <si>
    <t>no hr, no of, followed wh for it</t>
  </si>
  <si>
    <t>it only in second half, no hr, no of</t>
  </si>
  <si>
    <t>no of, it only in second half</t>
  </si>
  <si>
    <t>no of, followed wh for it</t>
  </si>
  <si>
    <t>TOD_BB047</t>
  </si>
  <si>
    <t>INF_BB047</t>
  </si>
  <si>
    <t>no it, no of</t>
  </si>
  <si>
    <t>TOD_BB050</t>
  </si>
  <si>
    <t>INF_BB050</t>
  </si>
  <si>
    <t>TOD_BB051</t>
  </si>
  <si>
    <t>no hr, of barely developed</t>
  </si>
  <si>
    <t>3 hr/ar so traced outer 2</t>
  </si>
  <si>
    <t>INF_BB051</t>
  </si>
  <si>
    <t>no hr, no it, no of</t>
  </si>
  <si>
    <t>no it, no of, pt barely developed</t>
  </si>
  <si>
    <t>TOD_BB061</t>
  </si>
  <si>
    <t>hr exists but did not trace</t>
  </si>
  <si>
    <t>INF_BB061</t>
  </si>
  <si>
    <t>no hr, it only second half developed</t>
  </si>
  <si>
    <t>it only second half developed</t>
  </si>
  <si>
    <t>TOD_BB063</t>
  </si>
  <si>
    <t>barely developed of, still traced</t>
  </si>
  <si>
    <t>did not trace of, 3 ar/hr (did outer 2), no second half it</t>
  </si>
  <si>
    <t>INF_BB063</t>
  </si>
  <si>
    <t>ar and hr barely developed, did not trace hr. no of. if barely developed, traced.</t>
  </si>
  <si>
    <t>of and it don't exist, if barely exists (traced), ar and hr confusing, traced hr not ar</t>
  </si>
  <si>
    <t>TOD_BB065</t>
  </si>
  <si>
    <t>3 options for ar/hr, surface over lay split pial, continued st all way</t>
  </si>
  <si>
    <t>3 options for ar/hr, surface over lay split pial</t>
  </si>
  <si>
    <t>INF_BB065</t>
  </si>
  <si>
    <t>TOD_BB067</t>
  </si>
  <si>
    <t>if bifurcation, Continued anterior rather than inferior</t>
  </si>
  <si>
    <t>*weird ar, traced but should I?</t>
  </si>
  <si>
    <t>INF_BB067</t>
  </si>
  <si>
    <t>no it, no of, poor sf if separation, po pial smushed</t>
  </si>
  <si>
    <t>no it, no of, poor sf if separation</t>
  </si>
  <si>
    <t>no it, no of, no ar</t>
  </si>
  <si>
    <t>TOD_BB072</t>
  </si>
  <si>
    <t>it bifurcation</t>
  </si>
  <si>
    <t>ci, if, it, po, sf 4/5 confidence</t>
  </si>
  <si>
    <t>INF_072</t>
  </si>
  <si>
    <t>no hr, no of, st bifurcation</t>
  </si>
  <si>
    <t>no hr, no of,st bifurcation</t>
  </si>
  <si>
    <t>TOD_BB074</t>
  </si>
  <si>
    <t>if not well developed</t>
  </si>
  <si>
    <t>if not well developed, ended st earlier option</t>
  </si>
  <si>
    <t>ci took closer path</t>
  </si>
  <si>
    <t>INF_BB074</t>
  </si>
  <si>
    <t>BEG_INF002</t>
  </si>
  <si>
    <t>st goes high, st ip intersect</t>
  </si>
  <si>
    <t>st goes high, st ip intersect, ci bifurcation (started left)</t>
  </si>
  <si>
    <t>DID Not Trace</t>
  </si>
  <si>
    <t>REA_INF003</t>
  </si>
  <si>
    <t>of</t>
  </si>
  <si>
    <t>ci, if, it, pc, sf, st</t>
  </si>
  <si>
    <t>if, po, sf, st</t>
  </si>
  <si>
    <t>it, of</t>
  </si>
  <si>
    <t>ar, it, of</t>
  </si>
  <si>
    <t>REA_INF005</t>
  </si>
  <si>
    <t>Squished pial made tracing difficult</t>
  </si>
  <si>
    <t>Segmentation not aligned</t>
  </si>
  <si>
    <t>BEG_INF007</t>
  </si>
  <si>
    <t>ci! Ip, po, pc, pt</t>
  </si>
  <si>
    <t>ca, ci, of</t>
  </si>
  <si>
    <t>PRE_INF010</t>
  </si>
  <si>
    <t>hr, pial is squished</t>
  </si>
  <si>
    <t>hr</t>
  </si>
  <si>
    <t>of, hr</t>
  </si>
  <si>
    <t>REA_INF011</t>
  </si>
  <si>
    <t>st</t>
  </si>
  <si>
    <t>ca, la</t>
  </si>
  <si>
    <t>ar, hr</t>
  </si>
  <si>
    <t>REA_INF012</t>
  </si>
  <si>
    <t>po, ar/hr</t>
  </si>
  <si>
    <t>st, ar/hr, pt</t>
  </si>
  <si>
    <t>ar/hr, of</t>
  </si>
  <si>
    <t>BEG_INF013</t>
  </si>
  <si>
    <t>ar/hr</t>
  </si>
  <si>
    <t>ar/hr, ci</t>
  </si>
  <si>
    <t>REA_INF015</t>
  </si>
  <si>
    <t>pt, sf</t>
  </si>
  <si>
    <t>REA_INF016</t>
  </si>
  <si>
    <t>REA_INF017</t>
  </si>
  <si>
    <t>REA_INF018</t>
  </si>
  <si>
    <t>REA_INF019</t>
  </si>
  <si>
    <t>ci</t>
  </si>
  <si>
    <t>REA_INF020</t>
  </si>
  <si>
    <t>REA_INF021</t>
  </si>
  <si>
    <t>of, it</t>
  </si>
  <si>
    <t>REA_INF022</t>
  </si>
  <si>
    <t>REA_INF023</t>
  </si>
  <si>
    <t>st, it</t>
  </si>
  <si>
    <t>Subject</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</si>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</sst>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b/>
      <sz val="11"/>
      <color theme="1"/>
      <name val="Aptos Narrow"/>
      <family val="2"/>
      <scheme val="minor"/>
    </font>
    <font>
      <sz val="11"/>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b/>
      <sz val="12"/>
      <color rgb="FF000000"/>
      <name val="Calibri"/>
      <family val="2"/>
    </font>
    <font>
      <b/>
      <sz val="11"/>
      <color rgb="FF000000"/>
      <name val="Calibri"/>
      <family val="2"/>
    </font>
    <font>
      <sz val="12"/>
      <name val="Calibri"/>
      <family val="2"/>
    </font>
    <font>
      <sz val="12"/>
      <color rgb="FF000000"/>
      <name val="Calibri"/>
      <family val="2"/>
    </font>
    <font>
      <sz val="11"/>
      <color rgb="FF000000"/>
      <name val="Aptos Narrow"/>
      <scheme val="minor"/>
    </font>
    <font>
      <b/>
      <sz val="11"/>
      <color rgb="FF000000"/>
      <name val="Aptos Narrow"/>
      <scheme val="minor"/>
    </font>
    <font>
      <sz val="8"/>
      <name val="Aptos Narrow"/>
      <family val="2"/>
      <scheme val="minor"/>
    </font>
  </fonts>
  <fills count="19">
    <fill>
      <patternFill patternType="none"/>
    </fill>
    <fill>
      <patternFill patternType="gray125"/>
    </fill>
    <fill>
      <patternFill patternType="solid">
        <fgColor rgb="FF00B0F0"/>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DBDBDB"/>
        <bgColor rgb="FF000000"/>
      </patternFill>
    </fill>
    <fill>
      <patternFill patternType="solid">
        <fgColor rgb="FFED7D31"/>
        <bgColor rgb="FF000000"/>
      </patternFill>
    </fill>
    <fill>
      <patternFill patternType="solid">
        <fgColor rgb="FFD9E1F2"/>
        <bgColor rgb="FFD9E1F2"/>
      </patternFill>
    </fill>
    <fill>
      <patternFill patternType="solid">
        <fgColor theme="2" tint="-9.9978637043366805E-2"/>
        <bgColor indexed="64"/>
      </patternFill>
    </fill>
    <fill>
      <patternFill patternType="solid">
        <fgColor rgb="FFFFFF00"/>
        <bgColor indexed="64"/>
      </patternFill>
    </fill>
    <fill>
      <patternFill patternType="solid">
        <fgColor rgb="FFFFFF00"/>
        <bgColor rgb="FFD9E1F2"/>
      </patternFill>
    </fill>
    <fill>
      <patternFill patternType="solid">
        <fgColor theme="3" tint="0.89999084444715716"/>
        <bgColor indexed="64"/>
      </patternFill>
    </fill>
    <fill>
      <patternFill patternType="solid">
        <fgColor theme="3" tint="0.89999084444715716"/>
        <bgColor rgb="FFD9E1F2"/>
      </patternFill>
    </fill>
    <fill>
      <patternFill patternType="solid">
        <fgColor theme="0"/>
        <bgColor rgb="FFD9E1F2"/>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theme="4"/>
      </left>
      <right style="thin">
        <color theme="4"/>
      </right>
      <top style="thin">
        <color theme="4"/>
      </top>
      <bottom style="medium">
        <color theme="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medium">
        <color indexed="64"/>
      </bottom>
      <diagonal/>
    </border>
    <border>
      <left style="thin">
        <color indexed="64"/>
      </left>
      <right style="thin">
        <color indexed="64"/>
      </right>
      <top style="thin">
        <color theme="4"/>
      </top>
      <bottom style="thin">
        <color indexed="64"/>
      </bottom>
      <diagonal/>
    </border>
    <border>
      <left style="thin">
        <color rgb="FF000000"/>
      </left>
      <right style="thin">
        <color indexed="64"/>
      </right>
      <top style="thin">
        <color indexed="64"/>
      </top>
      <bottom style="medium">
        <color rgb="FF4472C4"/>
      </bottom>
      <diagonal/>
    </border>
    <border>
      <left style="thin">
        <color rgb="FF4472C4"/>
      </left>
      <right style="thin">
        <color rgb="FF4472C4"/>
      </right>
      <top style="thin">
        <color rgb="FF4472C4"/>
      </top>
      <bottom style="medium">
        <color rgb="FF4472C4"/>
      </bottom>
      <diagonal/>
    </border>
    <border>
      <left style="thin">
        <color indexed="64"/>
      </left>
      <right style="thin">
        <color indexed="64"/>
      </right>
      <top style="thin">
        <color indexed="64"/>
      </top>
      <bottom style="medium">
        <color rgb="FF4472C4"/>
      </bottom>
      <diagonal/>
    </border>
    <border>
      <left style="thin">
        <color indexed="64"/>
      </left>
      <right style="thin">
        <color rgb="FF000000"/>
      </right>
      <top style="thin">
        <color rgb="FF4472C4"/>
      </top>
      <bottom style="medium">
        <color rgb="FF4472C4"/>
      </bottom>
      <diagonal/>
    </border>
    <border>
      <left style="thin">
        <color rgb="FF4472C4"/>
      </left>
      <right style="thin">
        <color rgb="FF000000"/>
      </right>
      <top style="thin">
        <color rgb="FF4472C4"/>
      </top>
      <bottom style="thin">
        <color rgb="FF4472C4"/>
      </bottom>
      <diagonal/>
    </border>
    <border>
      <left style="thin">
        <color rgb="FF4472C4"/>
      </left>
      <right style="thin">
        <color rgb="FF000000"/>
      </right>
      <top style="thin">
        <color rgb="FF4472C4"/>
      </top>
      <bottom style="medium">
        <color indexed="64"/>
      </bottom>
      <diagonal/>
    </border>
    <border>
      <left style="thin">
        <color rgb="FF000000"/>
      </left>
      <right style="thin">
        <color indexed="64"/>
      </right>
      <top style="thin">
        <color rgb="FF4472C4"/>
      </top>
      <bottom style="thin">
        <color indexed="64"/>
      </bottom>
      <diagonal/>
    </border>
    <border>
      <left style="thin">
        <color indexed="64"/>
      </left>
      <right style="thin">
        <color indexed="64"/>
      </right>
      <top style="thin">
        <color rgb="FF4472C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rgb="FF4472C4"/>
      </left>
      <right style="thin">
        <color rgb="FF000000"/>
      </right>
      <top style="thin">
        <color rgb="FF4472C4"/>
      </top>
      <bottom style="thin">
        <color rgb="FF000000"/>
      </bottom>
      <diagonal/>
    </border>
    <border>
      <left style="thin">
        <color rgb="FF4472C4"/>
      </left>
      <right style="thin">
        <color rgb="FF000000"/>
      </right>
      <top/>
      <bottom/>
      <diagonal/>
    </border>
    <border>
      <left style="thin">
        <color rgb="FF4472C4"/>
      </left>
      <right style="thin">
        <color rgb="FF000000"/>
      </right>
      <top/>
      <bottom style="thin">
        <color rgb="FF4472C4"/>
      </bottom>
      <diagonal/>
    </border>
    <border>
      <left style="thin">
        <color rgb="FF4472C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rgb="FF000000"/>
      </top>
      <bottom style="medium">
        <color rgb="FF000000"/>
      </bottom>
      <diagonal/>
    </border>
  </borders>
  <cellStyleXfs count="1">
    <xf numFmtId="0" fontId="0" fillId="0" borderId="0"/>
  </cellStyleXfs>
  <cellXfs count="152">
    <xf numFmtId="0" fontId="0" fillId="0" borderId="0" xfId="0"/>
    <xf numFmtId="0" fontId="0" fillId="2" borderId="1" xfId="0" applyFill="1" applyBorder="1"/>
    <xf numFmtId="0" fontId="2" fillId="2" borderId="1" xfId="0" applyFont="1" applyFill="1" applyBorder="1"/>
    <xf numFmtId="0" fontId="0" fillId="3" borderId="1" xfId="0" applyFill="1" applyBorder="1"/>
    <xf numFmtId="0" fontId="0" fillId="3" borderId="1" xfId="0" applyFill="1" applyBorder="1" applyAlignment="1">
      <alignment horizontal="right"/>
    </xf>
    <xf numFmtId="2" fontId="0" fillId="3" borderId="1" xfId="0" applyNumberFormat="1" applyFill="1" applyBorder="1"/>
    <xf numFmtId="2" fontId="0" fillId="4" borderId="1" xfId="0" applyNumberFormat="1" applyFill="1" applyBorder="1"/>
    <xf numFmtId="0" fontId="0" fillId="5" borderId="1" xfId="0" applyFill="1" applyBorder="1"/>
    <xf numFmtId="0" fontId="0" fillId="5" borderId="1" xfId="0" applyFill="1" applyBorder="1" applyAlignment="1">
      <alignment horizontal="right"/>
    </xf>
    <xf numFmtId="2" fontId="0" fillId="5" borderId="1" xfId="0" applyNumberFormat="1" applyFill="1" applyBorder="1"/>
    <xf numFmtId="0" fontId="0" fillId="6" borderId="1" xfId="0" applyFill="1" applyBorder="1"/>
    <xf numFmtId="0" fontId="0" fillId="6" borderId="1" xfId="0" applyFill="1" applyBorder="1" applyAlignment="1">
      <alignment horizontal="right"/>
    </xf>
    <xf numFmtId="2" fontId="0" fillId="6" borderId="1" xfId="0" applyNumberFormat="1" applyFill="1" applyBorder="1"/>
    <xf numFmtId="0" fontId="0" fillId="4" borderId="0" xfId="0" applyFill="1"/>
    <xf numFmtId="0" fontId="0" fillId="4" borderId="1" xfId="0" applyFill="1" applyBorder="1"/>
    <xf numFmtId="0" fontId="0" fillId="0" borderId="1" xfId="0" applyBorder="1"/>
    <xf numFmtId="0" fontId="0" fillId="4" borderId="1" xfId="0" applyFill="1" applyBorder="1" applyAlignment="1">
      <alignment horizontal="right"/>
    </xf>
    <xf numFmtId="0" fontId="0" fillId="0" borderId="1" xfId="0" applyBorder="1" applyAlignment="1">
      <alignment horizontal="right"/>
    </xf>
    <xf numFmtId="0" fontId="1" fillId="4" borderId="0" xfId="0" applyFont="1" applyFill="1"/>
    <xf numFmtId="0" fontId="3" fillId="0" borderId="1" xfId="0" applyFont="1" applyBorder="1"/>
    <xf numFmtId="0" fontId="3" fillId="0" borderId="2" xfId="0" applyFont="1" applyBorder="1"/>
    <xf numFmtId="0" fontId="3" fillId="0" borderId="3" xfId="0" applyFont="1" applyBorder="1"/>
    <xf numFmtId="0" fontId="6" fillId="10" borderId="8" xfId="0" applyFont="1" applyFill="1" applyBorder="1"/>
    <xf numFmtId="0" fontId="7" fillId="10" borderId="9" xfId="0" applyFont="1" applyFill="1" applyBorder="1"/>
    <xf numFmtId="0" fontId="6" fillId="10" borderId="10" xfId="0" applyFont="1" applyFill="1" applyBorder="1"/>
    <xf numFmtId="0" fontId="6" fillId="10" borderId="10" xfId="0" applyFont="1" applyFill="1" applyBorder="1" applyAlignment="1">
      <alignment wrapText="1"/>
    </xf>
    <xf numFmtId="0" fontId="6" fillId="10" borderId="11" xfId="0" applyFont="1" applyFill="1" applyBorder="1"/>
    <xf numFmtId="0" fontId="8" fillId="11" borderId="5" xfId="0" applyFont="1" applyFill="1" applyBorder="1"/>
    <xf numFmtId="0" fontId="9" fillId="12" borderId="1" xfId="0" applyFont="1" applyFill="1" applyBorder="1"/>
    <xf numFmtId="0" fontId="8" fillId="12" borderId="1" xfId="0" applyFont="1" applyFill="1" applyBorder="1"/>
    <xf numFmtId="0" fontId="9" fillId="12" borderId="1" xfId="0" applyFont="1" applyFill="1" applyBorder="1" applyAlignment="1">
      <alignment wrapText="1"/>
    </xf>
    <xf numFmtId="0" fontId="9" fillId="12" borderId="12" xfId="0" applyFont="1" applyFill="1" applyBorder="1"/>
    <xf numFmtId="0" fontId="9" fillId="11" borderId="5" xfId="0" applyFont="1" applyFill="1" applyBorder="1"/>
    <xf numFmtId="0" fontId="9" fillId="0" borderId="1" xfId="0" applyFont="1" applyBorder="1"/>
    <xf numFmtId="0" fontId="9" fillId="0" borderId="1" xfId="0" applyFont="1" applyBorder="1" applyAlignment="1">
      <alignment wrapText="1"/>
    </xf>
    <xf numFmtId="0" fontId="9" fillId="0" borderId="12" xfId="0" applyFont="1" applyBorder="1"/>
    <xf numFmtId="0" fontId="9" fillId="11" borderId="6" xfId="0" applyFont="1" applyFill="1" applyBorder="1"/>
    <xf numFmtId="0" fontId="9" fillId="0" borderId="2" xfId="0" applyFont="1" applyBorder="1"/>
    <xf numFmtId="0" fontId="9" fillId="0" borderId="2" xfId="0" applyFont="1" applyBorder="1" applyAlignment="1">
      <alignment wrapText="1"/>
    </xf>
    <xf numFmtId="0" fontId="9" fillId="0" borderId="13" xfId="0" applyFont="1" applyBorder="1"/>
    <xf numFmtId="0" fontId="9" fillId="11" borderId="14" xfId="0" applyFont="1" applyFill="1" applyBorder="1"/>
    <xf numFmtId="0" fontId="9" fillId="12" borderId="15" xfId="0" applyFont="1" applyFill="1" applyBorder="1"/>
    <xf numFmtId="0" fontId="9" fillId="12" borderId="15" xfId="0" applyFont="1" applyFill="1" applyBorder="1" applyAlignment="1">
      <alignment wrapText="1"/>
    </xf>
    <xf numFmtId="0" fontId="9" fillId="0" borderId="15" xfId="0" applyFont="1" applyBorder="1"/>
    <xf numFmtId="0" fontId="9" fillId="0" borderId="15" xfId="0" applyFont="1" applyBorder="1" applyAlignment="1">
      <alignment wrapText="1"/>
    </xf>
    <xf numFmtId="0" fontId="9" fillId="12" borderId="2" xfId="0" applyFont="1" applyFill="1" applyBorder="1"/>
    <xf numFmtId="0" fontId="9" fillId="12" borderId="2" xfId="0" applyFont="1" applyFill="1" applyBorder="1" applyAlignment="1">
      <alignment wrapText="1"/>
    </xf>
    <xf numFmtId="0" fontId="9" fillId="12" borderId="13" xfId="0" applyFont="1" applyFill="1" applyBorder="1"/>
    <xf numFmtId="0" fontId="9" fillId="11" borderId="16" xfId="0" applyFont="1" applyFill="1" applyBorder="1"/>
    <xf numFmtId="0" fontId="9" fillId="12" borderId="17" xfId="0" applyFont="1" applyFill="1" applyBorder="1"/>
    <xf numFmtId="0" fontId="9" fillId="12" borderId="17" xfId="0" applyFont="1" applyFill="1" applyBorder="1" applyAlignment="1">
      <alignment wrapText="1"/>
    </xf>
    <xf numFmtId="0" fontId="9" fillId="12" borderId="18" xfId="0" applyFont="1" applyFill="1" applyBorder="1"/>
    <xf numFmtId="0" fontId="5" fillId="7" borderId="1" xfId="0" applyFont="1" applyFill="1" applyBorder="1"/>
    <xf numFmtId="0" fontId="5" fillId="7" borderId="1" xfId="0" applyFont="1" applyFill="1" applyBorder="1" applyAlignment="1">
      <alignment wrapText="1"/>
    </xf>
    <xf numFmtId="0" fontId="1" fillId="7" borderId="4" xfId="0" applyFont="1" applyFill="1" applyBorder="1"/>
    <xf numFmtId="0" fontId="4" fillId="8" borderId="3" xfId="0" applyFont="1" applyFill="1" applyBorder="1"/>
    <xf numFmtId="0" fontId="3" fillId="8" borderId="1" xfId="0" applyFont="1" applyFill="1" applyBorder="1" applyAlignment="1">
      <alignment wrapText="1"/>
    </xf>
    <xf numFmtId="0" fontId="3" fillId="9" borderId="1" xfId="0" applyFont="1" applyFill="1" applyBorder="1"/>
    <xf numFmtId="0" fontId="4" fillId="9" borderId="3" xfId="0" applyFont="1" applyFill="1" applyBorder="1"/>
    <xf numFmtId="0" fontId="3" fillId="8" borderId="1" xfId="0" applyFont="1" applyFill="1" applyBorder="1"/>
    <xf numFmtId="0" fontId="3" fillId="8" borderId="2" xfId="0" applyFont="1" applyFill="1" applyBorder="1"/>
    <xf numFmtId="0" fontId="3" fillId="8" borderId="2" xfId="0" applyFont="1" applyFill="1" applyBorder="1" applyAlignment="1">
      <alignment wrapText="1"/>
    </xf>
    <xf numFmtId="0" fontId="3" fillId="8" borderId="3" xfId="0" applyFont="1" applyFill="1" applyBorder="1"/>
    <xf numFmtId="0" fontId="3" fillId="8" borderId="3" xfId="0" applyFont="1" applyFill="1" applyBorder="1" applyAlignment="1">
      <alignment wrapText="1"/>
    </xf>
    <xf numFmtId="0" fontId="3" fillId="9" borderId="7" xfId="0" applyFont="1" applyFill="1" applyBorder="1"/>
    <xf numFmtId="0" fontId="3" fillId="9" borderId="3" xfId="0" applyFont="1" applyFill="1" applyBorder="1"/>
    <xf numFmtId="0" fontId="3" fillId="9" borderId="2" xfId="0" applyFont="1" applyFill="1" applyBorder="1"/>
    <xf numFmtId="0" fontId="3" fillId="0" borderId="7" xfId="0" applyFont="1" applyBorder="1"/>
    <xf numFmtId="0" fontId="3" fillId="9" borderId="17" xfId="0" applyFont="1" applyFill="1" applyBorder="1"/>
    <xf numFmtId="0" fontId="9" fillId="12" borderId="3" xfId="0" applyFont="1" applyFill="1" applyBorder="1" applyAlignment="1">
      <alignment wrapText="1"/>
    </xf>
    <xf numFmtId="0" fontId="9" fillId="12" borderId="3" xfId="0" applyFont="1" applyFill="1" applyBorder="1"/>
    <xf numFmtId="0" fontId="9" fillId="12" borderId="20" xfId="0" applyFont="1" applyFill="1" applyBorder="1"/>
    <xf numFmtId="0" fontId="9" fillId="14" borderId="1" xfId="0" applyFont="1" applyFill="1" applyBorder="1"/>
    <xf numFmtId="0" fontId="9" fillId="14" borderId="1" xfId="0" applyFont="1" applyFill="1" applyBorder="1" applyAlignment="1">
      <alignment wrapText="1"/>
    </xf>
    <xf numFmtId="0" fontId="9" fillId="14" borderId="12" xfId="0" applyFont="1" applyFill="1" applyBorder="1"/>
    <xf numFmtId="0" fontId="9" fillId="15" borderId="1" xfId="0" applyFont="1" applyFill="1" applyBorder="1"/>
    <xf numFmtId="0" fontId="9" fillId="15" borderId="1" xfId="0" applyFont="1" applyFill="1" applyBorder="1" applyAlignment="1">
      <alignment wrapText="1"/>
    </xf>
    <xf numFmtId="0" fontId="9" fillId="15" borderId="12" xfId="0" applyFont="1" applyFill="1" applyBorder="1"/>
    <xf numFmtId="0" fontId="9" fillId="15" borderId="15" xfId="0" applyFont="1" applyFill="1" applyBorder="1"/>
    <xf numFmtId="0" fontId="9" fillId="15" borderId="15" xfId="0" applyFont="1" applyFill="1" applyBorder="1" applyAlignment="1">
      <alignment wrapText="1"/>
    </xf>
    <xf numFmtId="0" fontId="9" fillId="14" borderId="15" xfId="0" applyFont="1" applyFill="1" applyBorder="1"/>
    <xf numFmtId="0" fontId="9" fillId="14" borderId="15" xfId="0" applyFont="1" applyFill="1" applyBorder="1" applyAlignment="1">
      <alignment wrapText="1"/>
    </xf>
    <xf numFmtId="0" fontId="0" fillId="14" borderId="0" xfId="0" applyFill="1"/>
    <xf numFmtId="14" fontId="0" fillId="0" borderId="0" xfId="0" applyNumberFormat="1"/>
    <xf numFmtId="0" fontId="9" fillId="17" borderId="1" xfId="0" applyFont="1" applyFill="1" applyBorder="1"/>
    <xf numFmtId="0" fontId="9" fillId="17" borderId="1" xfId="0" applyFont="1" applyFill="1" applyBorder="1" applyAlignment="1">
      <alignment wrapText="1"/>
    </xf>
    <xf numFmtId="0" fontId="9" fillId="17" borderId="12" xfId="0" applyFont="1" applyFill="1" applyBorder="1"/>
    <xf numFmtId="0" fontId="9" fillId="18" borderId="2" xfId="0" applyFont="1" applyFill="1" applyBorder="1"/>
    <xf numFmtId="0" fontId="9" fillId="18" borderId="2" xfId="0" applyFont="1" applyFill="1" applyBorder="1" applyAlignment="1">
      <alignment wrapText="1"/>
    </xf>
    <xf numFmtId="0" fontId="9" fillId="18" borderId="13" xfId="0" applyFont="1" applyFill="1" applyBorder="1"/>
    <xf numFmtId="0" fontId="9" fillId="4" borderId="1" xfId="0" applyFont="1" applyFill="1" applyBorder="1"/>
    <xf numFmtId="0" fontId="9" fillId="4" borderId="1" xfId="0" applyFont="1" applyFill="1" applyBorder="1" applyAlignment="1">
      <alignment wrapText="1"/>
    </xf>
    <xf numFmtId="0" fontId="9" fillId="4" borderId="12" xfId="0" applyFont="1" applyFill="1" applyBorder="1"/>
    <xf numFmtId="0" fontId="9" fillId="4" borderId="15" xfId="0" applyFont="1" applyFill="1" applyBorder="1"/>
    <xf numFmtId="0" fontId="9" fillId="4" borderId="15" xfId="0" applyFont="1" applyFill="1" applyBorder="1" applyAlignment="1">
      <alignment wrapText="1"/>
    </xf>
    <xf numFmtId="0" fontId="9" fillId="16" borderId="1" xfId="0" applyFont="1" applyFill="1" applyBorder="1"/>
    <xf numFmtId="0" fontId="9" fillId="4" borderId="19" xfId="0" applyFont="1" applyFill="1" applyBorder="1"/>
    <xf numFmtId="0" fontId="9" fillId="12" borderId="21" xfId="0" applyFont="1" applyFill="1" applyBorder="1"/>
    <xf numFmtId="0" fontId="9" fillId="0" borderId="21" xfId="0" applyFont="1" applyBorder="1"/>
    <xf numFmtId="0" fontId="9" fillId="15" borderId="2" xfId="0" applyFont="1" applyFill="1" applyBorder="1"/>
    <xf numFmtId="0" fontId="9" fillId="15" borderId="2" xfId="0" applyFont="1" applyFill="1" applyBorder="1" applyAlignment="1">
      <alignment wrapText="1"/>
    </xf>
    <xf numFmtId="0" fontId="9" fillId="15" borderId="13" xfId="0" applyFont="1" applyFill="1" applyBorder="1"/>
    <xf numFmtId="0" fontId="9" fillId="15" borderId="17" xfId="0" applyFont="1" applyFill="1" applyBorder="1"/>
    <xf numFmtId="0" fontId="9" fillId="15" borderId="17" xfId="0" applyFont="1" applyFill="1" applyBorder="1" applyAlignment="1">
      <alignment wrapText="1"/>
    </xf>
    <xf numFmtId="0" fontId="9" fillId="15" borderId="18" xfId="0" applyFont="1" applyFill="1" applyBorder="1"/>
    <xf numFmtId="0" fontId="0" fillId="6" borderId="22" xfId="0" applyFill="1" applyBorder="1"/>
    <xf numFmtId="0" fontId="0" fillId="6" borderId="23" xfId="0" applyFill="1" applyBorder="1"/>
    <xf numFmtId="0" fontId="0" fillId="6" borderId="25" xfId="0" applyFill="1" applyBorder="1"/>
    <xf numFmtId="0" fontId="0" fillId="6" borderId="2" xfId="0" applyFill="1" applyBorder="1"/>
    <xf numFmtId="0" fontId="0" fillId="3" borderId="22" xfId="0" applyFill="1" applyBorder="1"/>
    <xf numFmtId="0" fontId="0" fillId="3" borderId="23" xfId="0" applyFill="1" applyBorder="1"/>
    <xf numFmtId="0" fontId="0" fillId="3" borderId="25" xfId="0" applyFill="1" applyBorder="1"/>
    <xf numFmtId="0" fontId="0" fillId="3" borderId="2" xfId="0" applyFill="1" applyBorder="1"/>
    <xf numFmtId="0" fontId="0" fillId="2" borderId="27" xfId="0" applyFill="1" applyBorder="1"/>
    <xf numFmtId="0" fontId="0" fillId="2" borderId="28" xfId="0" applyFill="1" applyBorder="1"/>
    <xf numFmtId="0" fontId="0" fillId="2" borderId="29" xfId="0" applyFill="1" applyBorder="1"/>
    <xf numFmtId="0" fontId="0" fillId="0" borderId="24" xfId="0" applyBorder="1"/>
    <xf numFmtId="0" fontId="0" fillId="0" borderId="26" xfId="0" applyBorder="1"/>
    <xf numFmtId="0" fontId="0" fillId="5" borderId="22" xfId="0" applyFill="1" applyBorder="1"/>
    <xf numFmtId="0" fontId="0" fillId="5" borderId="23" xfId="0" applyFill="1" applyBorder="1"/>
    <xf numFmtId="0" fontId="0" fillId="5" borderId="25" xfId="0" applyFill="1" applyBorder="1"/>
    <xf numFmtId="0" fontId="0" fillId="5" borderId="2" xfId="0" applyFill="1" applyBorder="1"/>
    <xf numFmtId="0" fontId="0" fillId="6" borderId="30" xfId="0" applyFill="1" applyBorder="1"/>
    <xf numFmtId="0" fontId="0" fillId="0" borderId="31" xfId="0" applyBorder="1"/>
    <xf numFmtId="0" fontId="0" fillId="3" borderId="30" xfId="0" applyFill="1" applyBorder="1"/>
    <xf numFmtId="0" fontId="0" fillId="5" borderId="30" xfId="0" applyFill="1" applyBorder="1"/>
    <xf numFmtId="0" fontId="9" fillId="14" borderId="2" xfId="0" applyFont="1" applyFill="1" applyBorder="1"/>
    <xf numFmtId="0" fontId="9" fillId="14" borderId="2" xfId="0" applyFont="1" applyFill="1" applyBorder="1" applyAlignment="1">
      <alignment wrapText="1"/>
    </xf>
    <xf numFmtId="0" fontId="9" fillId="14" borderId="13" xfId="0" applyFont="1" applyFill="1" applyBorder="1"/>
    <xf numFmtId="0" fontId="9" fillId="0" borderId="3" xfId="0" applyFont="1" applyBorder="1"/>
    <xf numFmtId="0" fontId="9" fillId="0" borderId="3" xfId="0" applyFont="1" applyBorder="1" applyAlignment="1">
      <alignment wrapText="1"/>
    </xf>
    <xf numFmtId="0" fontId="9" fillId="0" borderId="20" xfId="0" applyFont="1" applyBorder="1"/>
    <xf numFmtId="0" fontId="1" fillId="6" borderId="1" xfId="0" applyFont="1" applyFill="1" applyBorder="1"/>
    <xf numFmtId="0" fontId="1" fillId="6" borderId="2" xfId="0" applyFont="1" applyFill="1" applyBorder="1"/>
    <xf numFmtId="0" fontId="1" fillId="3" borderId="1" xfId="0" applyFont="1" applyFill="1" applyBorder="1"/>
    <xf numFmtId="0" fontId="1" fillId="3" borderId="2" xfId="0" applyFont="1" applyFill="1" applyBorder="1"/>
    <xf numFmtId="0" fontId="1" fillId="5" borderId="1" xfId="0" applyFont="1" applyFill="1" applyBorder="1"/>
    <xf numFmtId="0" fontId="1" fillId="5" borderId="2" xfId="0" applyFont="1" applyFill="1" applyBorder="1"/>
    <xf numFmtId="0" fontId="1" fillId="6" borderId="23" xfId="0" applyFont="1" applyFill="1" applyBorder="1"/>
    <xf numFmtId="0" fontId="1" fillId="3" borderId="23" xfId="0" applyFont="1" applyFill="1" applyBorder="1"/>
    <xf numFmtId="0" fontId="1" fillId="5" borderId="23" xfId="0" applyFont="1" applyFill="1" applyBorder="1"/>
    <xf numFmtId="0" fontId="9" fillId="14" borderId="3" xfId="0" applyFont="1" applyFill="1" applyBorder="1"/>
    <xf numFmtId="0" fontId="9" fillId="14" borderId="3" xfId="0" applyFont="1" applyFill="1" applyBorder="1" applyAlignment="1">
      <alignment wrapText="1"/>
    </xf>
    <xf numFmtId="0" fontId="9" fillId="14" borderId="20" xfId="0" applyFont="1" applyFill="1" applyBorder="1"/>
    <xf numFmtId="0" fontId="9" fillId="15" borderId="3" xfId="0" applyFont="1" applyFill="1" applyBorder="1"/>
    <xf numFmtId="0" fontId="9" fillId="15" borderId="3" xfId="0" applyFont="1" applyFill="1" applyBorder="1" applyAlignment="1">
      <alignment wrapText="1"/>
    </xf>
    <xf numFmtId="0" fontId="9" fillId="15" borderId="20" xfId="0" applyFont="1" applyFill="1" applyBorder="1"/>
    <xf numFmtId="0" fontId="0" fillId="3" borderId="32" xfId="0" applyFill="1" applyBorder="1"/>
    <xf numFmtId="0" fontId="0" fillId="0" borderId="33" xfId="0" applyBorder="1"/>
    <xf numFmtId="0" fontId="9" fillId="0" borderId="32" xfId="0" applyFont="1" applyBorder="1"/>
    <xf numFmtId="0" fontId="9" fillId="12" borderId="34" xfId="0" applyFont="1" applyFill="1" applyBorder="1"/>
    <xf numFmtId="0" fontId="10" fillId="13" borderId="1" xfId="0" applyFont="1" applyFill="1" applyBorder="1" applyAlignment="1">
      <alignment wrapText="1"/>
    </xf>
  </cellXfs>
  <cellStyles count="1">
    <cellStyle name="Normal" xfId="0" builtinId="0"/>
  </cellStyles>
  <dxfs count="7">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000000"/>
      </font>
      <border>
        <bottom style="medium">
          <color rgb="FF4472C4"/>
        </bottom>
      </border>
    </dxf>
    <dxf>
      <font>
        <color rgb="FF000000"/>
      </font>
      <border>
        <left style="thin">
          <color rgb="FF4472C4"/>
        </left>
        <right style="thin">
          <color rgb="FF4472C4"/>
        </right>
        <top style="thin">
          <color rgb="FF4472C4"/>
        </top>
        <bottom style="thin">
          <color rgb="FF4472C4"/>
        </bottom>
        <vertical style="thin">
          <color rgb="FF4472C4"/>
        </vertical>
        <horizontal style="thin">
          <color rgb="FF4472C4"/>
        </horizontal>
      </border>
    </dxf>
  </dxfs>
  <tableStyles count="1" defaultTableStyle="TableStyleMedium2" defaultPivotStyle="PivotStyleLight16">
    <tableStyle name="TableStyleLight16 2" pivot="0" count="7" xr9:uid="{27F3F371-41D6-444E-A7FB-986E8C95D33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6</xdr:col>
      <xdr:colOff>462642</xdr:colOff>
      <xdr:row>2</xdr:row>
      <xdr:rowOff>163286</xdr:rowOff>
    </xdr:from>
    <xdr:to>
      <xdr:col>15</xdr:col>
      <xdr:colOff>394608</xdr:colOff>
      <xdr:row>6</xdr:row>
      <xdr:rowOff>176893</xdr:rowOff>
    </xdr:to>
    <xdr:sp macro="" textlink="">
      <xdr:nvSpPr>
        <xdr:cNvPr id="2" name="Rectangle 1">
          <a:extLst>
            <a:ext uri="{FF2B5EF4-FFF2-40B4-BE49-F238E27FC236}">
              <a16:creationId xmlns:a16="http://schemas.microsoft.com/office/drawing/2014/main" id="{2B9250DF-6DF4-0F87-47C2-F40943C5D814}"/>
            </a:ext>
          </a:extLst>
        </xdr:cNvPr>
        <xdr:cNvSpPr/>
      </xdr:nvSpPr>
      <xdr:spPr>
        <a:xfrm>
          <a:off x="11470821" y="2639786"/>
          <a:ext cx="5442858" cy="26261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Things</a:t>
          </a:r>
          <a:r>
            <a:rPr lang="en-US" sz="1100" baseline="0"/>
            <a:t> to go over: </a:t>
          </a:r>
        </a:p>
        <a:p>
          <a:pPr algn="l"/>
          <a:r>
            <a:rPr lang="en-US" sz="1100" baseline="0"/>
            <a:t>- ST should always match on the hemispheres. Chose whichver hemisphere looks more definiate and follow same path (if one definitately stops or one definietely goes all the way)</a:t>
          </a:r>
        </a:p>
        <a:p>
          <a:pPr algn="l"/>
          <a:r>
            <a:rPr lang="en-US" sz="1100" baseline="0"/>
            <a:t>- End IP in middle unless one direction shows promise</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Romano, Emma" id="{54207D75-6362-450C-90CD-06A92A05A17F}" userId="S::eromano2@meei.harvard.edu::99c75670-65c9-4e3d-801e-6599274e87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39" dT="2024-03-27T17:19:58.54" personId="{54207D75-6362-450C-90CD-06A92A05A17F}" id="{43EB68C4-12D9-4ED7-977A-A80EE841BBE7}">
    <text>Can't find</text>
  </threadedComment>
</ThreadedComments>
</file>

<file path=xl/threadedComments/threadedComment2.xml><?xml version="1.0" encoding="utf-8"?>
<ThreadedComments xmlns="http://schemas.microsoft.com/office/spreadsheetml/2018/threadedcomments" xmlns:x="http://schemas.openxmlformats.org/spreadsheetml/2006/main">
  <threadedComment ref="E87" dT="2025-01-11T17:46:18.57" personId="{54207D75-6362-450C-90CD-06A92A05A17F}" id="{AD48894E-BD39-4DCF-8764-8C8459231D02}">
    <text>Olivia Titled it “Uneeded_LOOK_Traced_REA_INF023”. I looked and it looked good.</text>
  </threadedComment>
  <threadedComment ref="E88" dT="2025-01-11T17:46:41.17" personId="{54207D75-6362-450C-90CD-06A92A05A17F}" id="{6C846AB9-32FD-4BF5-9A5F-2F79F91A2BD6}">
    <text>Olivia Titled the REA “Uneeded_LOOK_Traced_REA_INF023”. I looked and it looked good. I would do BEG if REA did not look good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64FE-9ED3-4027-8AB4-96DEBC864DB1}">
  <sheetPr filterMode="1"/>
  <dimension ref="A1:S336"/>
  <sheetViews>
    <sheetView tabSelected="1" zoomScale="110" zoomScaleNormal="110" workbookViewId="0">
      <selection activeCell="G1" sqref="G1"/>
    </sheetView>
  </sheetViews>
  <sheetFormatPr defaultColWidth="9.109375" defaultRowHeight="14.4" x14ac:dyDescent="0.3"/>
  <cols>
    <col min="1" max="6" width="8.6640625" style="13" customWidth="1"/>
    <col min="7" max="8" width="9.109375" style="13"/>
    <col min="9" max="11" width="8.6640625" style="13" customWidth="1"/>
    <col min="12" max="12" width="9.109375" style="13"/>
    <col min="13" max="18" width="8.6640625" style="13" customWidth="1"/>
    <col min="19" max="16384" width="9.109375" style="13"/>
  </cols>
  <sheetData>
    <row r="1" spans="1:19" x14ac:dyDescent="0.3">
      <c r="A1" s="1" t="s">
        <v>0</v>
      </c>
      <c r="B1" s="1" t="s">
        <v>670</v>
      </c>
      <c r="C1" s="1" t="s">
        <v>1</v>
      </c>
      <c r="D1" s="1" t="s">
        <v>2</v>
      </c>
      <c r="E1" s="1" t="s">
        <v>3</v>
      </c>
      <c r="F1" s="1" t="s">
        <v>4</v>
      </c>
      <c r="G1" s="1" t="s">
        <v>671</v>
      </c>
      <c r="H1" s="1" t="s">
        <v>5</v>
      </c>
      <c r="I1" s="1" t="s">
        <v>6</v>
      </c>
      <c r="J1" s="1" t="s">
        <v>7</v>
      </c>
      <c r="K1" s="1" t="s">
        <v>8</v>
      </c>
      <c r="L1" s="1" t="s">
        <v>9</v>
      </c>
      <c r="M1" s="2" t="s">
        <v>10</v>
      </c>
      <c r="N1" s="2" t="s">
        <v>11</v>
      </c>
      <c r="O1" s="1" t="s">
        <v>12</v>
      </c>
      <c r="P1" s="1" t="s">
        <v>13</v>
      </c>
      <c r="Q1" s="1" t="s">
        <v>14</v>
      </c>
      <c r="R1" s="1" t="s">
        <v>15</v>
      </c>
      <c r="S1" s="13" t="s">
        <v>16</v>
      </c>
    </row>
    <row r="2" spans="1:19" hidden="1" x14ac:dyDescent="0.3">
      <c r="A2" s="14">
        <v>1</v>
      </c>
      <c r="B2" s="14">
        <v>0</v>
      </c>
      <c r="C2" s="14" t="s">
        <v>17</v>
      </c>
      <c r="D2" s="14">
        <v>1</v>
      </c>
      <c r="E2" s="14" t="s">
        <v>18</v>
      </c>
      <c r="F2" s="16" t="s">
        <v>19</v>
      </c>
      <c r="G2" s="6">
        <f t="shared" ref="G2:G65" si="0">MAX(P2:R2)</f>
        <v>18.923839246604999</v>
      </c>
      <c r="H2" s="6">
        <f t="shared" ref="H2:H65" si="1">G2/12</f>
        <v>1.5769866038837499</v>
      </c>
      <c r="I2" s="14">
        <v>1</v>
      </c>
      <c r="J2" s="14">
        <v>1</v>
      </c>
      <c r="K2" s="14">
        <v>0</v>
      </c>
      <c r="L2" s="14">
        <v>0</v>
      </c>
      <c r="M2" s="15">
        <v>0</v>
      </c>
      <c r="N2" s="15">
        <v>0</v>
      </c>
      <c r="O2" s="14">
        <v>0</v>
      </c>
      <c r="P2" s="14">
        <v>18.923839246604999</v>
      </c>
      <c r="Q2" s="14"/>
      <c r="R2" s="14"/>
    </row>
    <row r="3" spans="1:19" hidden="1" x14ac:dyDescent="0.3">
      <c r="A3" s="14">
        <v>2</v>
      </c>
      <c r="B3" s="14">
        <v>0</v>
      </c>
      <c r="C3" s="14" t="s">
        <v>20</v>
      </c>
      <c r="D3" s="14">
        <v>1</v>
      </c>
      <c r="E3" s="14" t="s">
        <v>18</v>
      </c>
      <c r="F3" s="16" t="s">
        <v>19</v>
      </c>
      <c r="G3" s="6">
        <f t="shared" si="0"/>
        <v>5.5190538764783001</v>
      </c>
      <c r="H3" s="6">
        <f t="shared" si="1"/>
        <v>0.4599211563731917</v>
      </c>
      <c r="I3" s="14">
        <v>4</v>
      </c>
      <c r="J3" s="14">
        <v>1</v>
      </c>
      <c r="K3" s="14">
        <v>0</v>
      </c>
      <c r="L3" s="14">
        <v>0</v>
      </c>
      <c r="M3" s="15">
        <v>0</v>
      </c>
      <c r="N3" s="15">
        <v>0</v>
      </c>
      <c r="O3" s="14">
        <v>0</v>
      </c>
      <c r="P3" s="14">
        <v>5.5190538764783001</v>
      </c>
      <c r="Q3" s="14"/>
      <c r="R3" s="14"/>
    </row>
    <row r="4" spans="1:19" hidden="1" x14ac:dyDescent="0.3">
      <c r="A4" s="14">
        <v>3</v>
      </c>
      <c r="B4" s="14">
        <v>0</v>
      </c>
      <c r="C4" s="14" t="s">
        <v>21</v>
      </c>
      <c r="D4" s="14">
        <v>1</v>
      </c>
      <c r="E4" s="14" t="s">
        <v>18</v>
      </c>
      <c r="F4" s="16" t="s">
        <v>19</v>
      </c>
      <c r="G4" s="6">
        <f t="shared" si="0"/>
        <v>2.5295663600526002</v>
      </c>
      <c r="H4" s="6">
        <f t="shared" si="1"/>
        <v>0.21079719667105001</v>
      </c>
      <c r="I4" s="14">
        <v>6</v>
      </c>
      <c r="J4" s="14">
        <v>1</v>
      </c>
      <c r="K4" s="14">
        <v>0</v>
      </c>
      <c r="L4" s="14">
        <v>0</v>
      </c>
      <c r="M4" s="15">
        <v>0</v>
      </c>
      <c r="N4" s="15">
        <v>0</v>
      </c>
      <c r="O4" s="14">
        <v>0</v>
      </c>
      <c r="P4" s="14">
        <v>2.5295663600526002</v>
      </c>
      <c r="Q4" s="14"/>
      <c r="R4" s="14"/>
    </row>
    <row r="5" spans="1:19" hidden="1" x14ac:dyDescent="0.3">
      <c r="A5" s="14">
        <v>4</v>
      </c>
      <c r="B5" s="14">
        <v>0</v>
      </c>
      <c r="C5" s="14" t="s">
        <v>22</v>
      </c>
      <c r="D5" s="14">
        <v>1</v>
      </c>
      <c r="E5" s="14" t="s">
        <v>18</v>
      </c>
      <c r="F5" s="16" t="s">
        <v>19</v>
      </c>
      <c r="G5" s="6">
        <f t="shared" si="0"/>
        <v>4.6649145860710002</v>
      </c>
      <c r="H5" s="6">
        <f t="shared" si="1"/>
        <v>0.38874288217258335</v>
      </c>
      <c r="I5" s="14">
        <v>8</v>
      </c>
      <c r="J5" s="14">
        <v>1</v>
      </c>
      <c r="K5" s="14">
        <v>0</v>
      </c>
      <c r="L5" s="14">
        <v>0</v>
      </c>
      <c r="M5" s="15">
        <v>0</v>
      </c>
      <c r="N5" s="15">
        <v>0</v>
      </c>
      <c r="O5" s="14">
        <v>0</v>
      </c>
      <c r="P5" s="14">
        <v>4.6649145860710002</v>
      </c>
      <c r="Q5" s="14"/>
      <c r="R5" s="14"/>
    </row>
    <row r="6" spans="1:19" hidden="1" x14ac:dyDescent="0.3">
      <c r="A6" s="14">
        <v>5</v>
      </c>
      <c r="B6" s="14">
        <v>0</v>
      </c>
      <c r="C6" s="14" t="s">
        <v>23</v>
      </c>
      <c r="D6" s="14">
        <v>1</v>
      </c>
      <c r="E6" s="14" t="s">
        <v>18</v>
      </c>
      <c r="F6" s="16" t="s">
        <v>19</v>
      </c>
      <c r="G6" s="6">
        <f t="shared" si="0"/>
        <v>9.9211563731932007</v>
      </c>
      <c r="H6" s="6">
        <f t="shared" si="1"/>
        <v>0.82676303109943339</v>
      </c>
      <c r="I6" s="14">
        <v>12</v>
      </c>
      <c r="J6" s="14">
        <v>1</v>
      </c>
      <c r="K6" s="14">
        <v>0</v>
      </c>
      <c r="L6" s="14">
        <v>0</v>
      </c>
      <c r="M6" s="15">
        <v>0</v>
      </c>
      <c r="N6" s="15">
        <v>0</v>
      </c>
      <c r="O6" s="14">
        <v>0</v>
      </c>
      <c r="P6" s="14">
        <v>9.9211563731932007</v>
      </c>
      <c r="Q6" s="14"/>
      <c r="R6" s="14"/>
    </row>
    <row r="7" spans="1:19" hidden="1" x14ac:dyDescent="0.3">
      <c r="A7" s="14">
        <v>6</v>
      </c>
      <c r="B7" s="14">
        <v>0</v>
      </c>
      <c r="C7" s="14" t="s">
        <v>24</v>
      </c>
      <c r="D7" s="14">
        <v>1</v>
      </c>
      <c r="E7" s="14" t="s">
        <v>18</v>
      </c>
      <c r="F7" s="16" t="s">
        <v>25</v>
      </c>
      <c r="G7" s="6">
        <f t="shared" si="0"/>
        <v>9.4940867279894992</v>
      </c>
      <c r="H7" s="6">
        <f t="shared" si="1"/>
        <v>0.79117389399912497</v>
      </c>
      <c r="I7" s="14">
        <v>15</v>
      </c>
      <c r="J7" s="14">
        <v>1</v>
      </c>
      <c r="K7" s="14">
        <v>0</v>
      </c>
      <c r="L7" s="14">
        <v>0</v>
      </c>
      <c r="M7" s="15">
        <v>0</v>
      </c>
      <c r="N7" s="15">
        <v>0</v>
      </c>
      <c r="O7" s="14">
        <v>0</v>
      </c>
      <c r="P7" s="14">
        <v>9.4940867279894992</v>
      </c>
      <c r="Q7" s="14"/>
      <c r="R7" s="14"/>
    </row>
    <row r="8" spans="1:19" hidden="1" x14ac:dyDescent="0.3">
      <c r="A8" s="14">
        <v>7</v>
      </c>
      <c r="B8" s="14">
        <v>0</v>
      </c>
      <c r="C8" s="14" t="s">
        <v>26</v>
      </c>
      <c r="D8" s="14">
        <v>1</v>
      </c>
      <c r="E8" s="14" t="s">
        <v>18</v>
      </c>
      <c r="F8" s="16" t="s">
        <v>19</v>
      </c>
      <c r="G8" s="6">
        <f t="shared" si="0"/>
        <v>7.9500657030223003</v>
      </c>
      <c r="H8" s="6">
        <f t="shared" si="1"/>
        <v>0.66250547525185832</v>
      </c>
      <c r="I8" s="14">
        <v>18</v>
      </c>
      <c r="J8" s="14">
        <v>1</v>
      </c>
      <c r="K8" s="14">
        <v>0</v>
      </c>
      <c r="L8" s="14">
        <v>0</v>
      </c>
      <c r="M8" s="15">
        <v>0</v>
      </c>
      <c r="N8" s="15">
        <v>0</v>
      </c>
      <c r="O8" s="14">
        <v>0</v>
      </c>
      <c r="P8" s="14">
        <v>7.9500657030223003</v>
      </c>
      <c r="Q8" s="14"/>
      <c r="R8" s="14"/>
    </row>
    <row r="9" spans="1:19" hidden="1" x14ac:dyDescent="0.3">
      <c r="A9" s="14">
        <v>8</v>
      </c>
      <c r="B9" s="14">
        <v>0</v>
      </c>
      <c r="C9" s="14" t="s">
        <v>27</v>
      </c>
      <c r="D9" s="14">
        <v>1</v>
      </c>
      <c r="E9" s="14" t="s">
        <v>18</v>
      </c>
      <c r="F9" s="16" t="s">
        <v>25</v>
      </c>
      <c r="G9" s="6">
        <f t="shared" si="0"/>
        <v>10.381077529565999</v>
      </c>
      <c r="H9" s="6">
        <f t="shared" si="1"/>
        <v>0.86508979413049991</v>
      </c>
      <c r="I9" s="14">
        <v>22</v>
      </c>
      <c r="J9" s="14">
        <v>1</v>
      </c>
      <c r="K9" s="14">
        <v>0</v>
      </c>
      <c r="L9" s="14">
        <v>0</v>
      </c>
      <c r="M9" s="15">
        <v>0</v>
      </c>
      <c r="N9" s="15">
        <v>0</v>
      </c>
      <c r="O9" s="14">
        <v>0</v>
      </c>
      <c r="P9" s="14">
        <v>10.381077529565999</v>
      </c>
      <c r="Q9" s="14"/>
      <c r="R9" s="14"/>
    </row>
    <row r="10" spans="1:19" hidden="1" x14ac:dyDescent="0.3">
      <c r="A10" s="14">
        <v>9</v>
      </c>
      <c r="B10" s="14">
        <v>0</v>
      </c>
      <c r="C10" s="14" t="s">
        <v>28</v>
      </c>
      <c r="D10" s="14">
        <v>1</v>
      </c>
      <c r="E10" s="14" t="s">
        <v>18</v>
      </c>
      <c r="F10" s="16" t="s">
        <v>19</v>
      </c>
      <c r="G10" s="6">
        <f t="shared" si="0"/>
        <v>2.4638633377135002</v>
      </c>
      <c r="H10" s="6">
        <f t="shared" si="1"/>
        <v>0.20532194480945834</v>
      </c>
      <c r="I10" s="14">
        <v>23</v>
      </c>
      <c r="J10" s="14">
        <v>1</v>
      </c>
      <c r="K10" s="14">
        <v>0</v>
      </c>
      <c r="L10" s="14">
        <v>0</v>
      </c>
      <c r="M10" s="15">
        <v>0</v>
      </c>
      <c r="N10" s="15">
        <v>0</v>
      </c>
      <c r="O10" s="14">
        <v>0</v>
      </c>
      <c r="P10" s="14">
        <v>2.4638633377135002</v>
      </c>
      <c r="Q10" s="14"/>
      <c r="R10" s="14"/>
    </row>
    <row r="11" spans="1:19" hidden="1" x14ac:dyDescent="0.3">
      <c r="A11" s="14">
        <v>10</v>
      </c>
      <c r="B11" s="14">
        <v>0</v>
      </c>
      <c r="C11" s="14" t="s">
        <v>29</v>
      </c>
      <c r="D11" s="14">
        <v>1</v>
      </c>
      <c r="E11" s="14" t="s">
        <v>18</v>
      </c>
      <c r="F11" s="16" t="s">
        <v>19</v>
      </c>
      <c r="G11" s="6">
        <f t="shared" si="0"/>
        <v>11.333771353482</v>
      </c>
      <c r="H11" s="6">
        <f t="shared" si="1"/>
        <v>0.94448094612349998</v>
      </c>
      <c r="I11" s="14">
        <v>28</v>
      </c>
      <c r="J11" s="14">
        <v>1</v>
      </c>
      <c r="K11" s="14">
        <v>0</v>
      </c>
      <c r="L11" s="14">
        <v>0</v>
      </c>
      <c r="M11" s="15">
        <v>0</v>
      </c>
      <c r="N11" s="15">
        <v>0</v>
      </c>
      <c r="O11" s="14">
        <v>0</v>
      </c>
      <c r="P11" s="14">
        <v>11.333771353482</v>
      </c>
      <c r="Q11" s="14"/>
      <c r="R11" s="14"/>
    </row>
    <row r="12" spans="1:19" hidden="1" x14ac:dyDescent="0.3">
      <c r="A12" s="14">
        <v>11</v>
      </c>
      <c r="B12" s="14">
        <v>0</v>
      </c>
      <c r="C12" s="14" t="s">
        <v>30</v>
      </c>
      <c r="D12" s="14">
        <v>1</v>
      </c>
      <c r="E12" s="14" t="s">
        <v>18</v>
      </c>
      <c r="F12" s="16" t="s">
        <v>19</v>
      </c>
      <c r="G12" s="6">
        <f t="shared" si="0"/>
        <v>11.530880420499001</v>
      </c>
      <c r="H12" s="6">
        <f t="shared" si="1"/>
        <v>0.9609067017082501</v>
      </c>
      <c r="I12" s="14">
        <v>29</v>
      </c>
      <c r="J12" s="14">
        <v>1</v>
      </c>
      <c r="K12" s="14">
        <v>0</v>
      </c>
      <c r="L12" s="14">
        <v>0</v>
      </c>
      <c r="M12" s="15">
        <v>0</v>
      </c>
      <c r="N12" s="15">
        <v>0</v>
      </c>
      <c r="O12" s="14">
        <v>0</v>
      </c>
      <c r="P12" s="14">
        <v>11.103810775295999</v>
      </c>
      <c r="Q12" s="14">
        <v>11.530880420499001</v>
      </c>
      <c r="R12" s="14"/>
    </row>
    <row r="13" spans="1:19" hidden="1" x14ac:dyDescent="0.3">
      <c r="A13" s="14">
        <v>12</v>
      </c>
      <c r="B13" s="14">
        <v>0</v>
      </c>
      <c r="C13" s="14" t="s">
        <v>31</v>
      </c>
      <c r="D13" s="14">
        <v>1</v>
      </c>
      <c r="E13" s="14" t="s">
        <v>18</v>
      </c>
      <c r="F13" s="16" t="s">
        <v>25</v>
      </c>
      <c r="G13" s="6">
        <f t="shared" si="0"/>
        <v>3.3180026281209001</v>
      </c>
      <c r="H13" s="6">
        <f t="shared" si="1"/>
        <v>0.27650021901007499</v>
      </c>
      <c r="I13" s="14">
        <v>32</v>
      </c>
      <c r="J13" s="14">
        <v>1</v>
      </c>
      <c r="K13" s="14">
        <v>0</v>
      </c>
      <c r="L13" s="14">
        <v>0</v>
      </c>
      <c r="M13" s="15">
        <v>0</v>
      </c>
      <c r="N13" s="15">
        <v>0</v>
      </c>
      <c r="O13" s="14">
        <v>0</v>
      </c>
      <c r="P13" s="14">
        <v>3.3180026281209001</v>
      </c>
      <c r="Q13" s="14"/>
      <c r="R13" s="14"/>
    </row>
    <row r="14" spans="1:19" hidden="1" x14ac:dyDescent="0.3">
      <c r="A14" s="14">
        <v>13</v>
      </c>
      <c r="B14" s="14">
        <v>0</v>
      </c>
      <c r="C14" s="14" t="s">
        <v>32</v>
      </c>
      <c r="D14" s="14">
        <v>1</v>
      </c>
      <c r="E14" s="14" t="s">
        <v>18</v>
      </c>
      <c r="F14" s="16" t="s">
        <v>25</v>
      </c>
      <c r="G14" s="6">
        <f t="shared" si="0"/>
        <v>2.7923784494086998</v>
      </c>
      <c r="H14" s="6">
        <f t="shared" si="1"/>
        <v>0.23269820411739164</v>
      </c>
      <c r="I14" s="14">
        <v>34</v>
      </c>
      <c r="J14" s="14">
        <v>1</v>
      </c>
      <c r="K14" s="14">
        <v>0</v>
      </c>
      <c r="L14" s="14">
        <v>0</v>
      </c>
      <c r="M14" s="15">
        <v>0</v>
      </c>
      <c r="N14" s="15">
        <v>0</v>
      </c>
      <c r="O14" s="14">
        <v>0</v>
      </c>
      <c r="P14" s="14">
        <v>2.7923784494086998</v>
      </c>
      <c r="Q14" s="14"/>
      <c r="R14" s="14"/>
    </row>
    <row r="15" spans="1:19" hidden="1" x14ac:dyDescent="0.3">
      <c r="A15" s="14">
        <v>14</v>
      </c>
      <c r="B15" s="14">
        <v>0</v>
      </c>
      <c r="C15" s="14" t="s">
        <v>33</v>
      </c>
      <c r="D15" s="14">
        <v>1</v>
      </c>
      <c r="E15" s="14" t="s">
        <v>18</v>
      </c>
      <c r="F15" s="16" t="s">
        <v>25</v>
      </c>
      <c r="G15" s="6">
        <f t="shared" si="0"/>
        <v>3.5493320192728999</v>
      </c>
      <c r="H15" s="6">
        <f t="shared" si="1"/>
        <v>0.29577766827274166</v>
      </c>
      <c r="I15" s="14">
        <v>38</v>
      </c>
      <c r="J15" s="14">
        <v>1</v>
      </c>
      <c r="K15" s="14">
        <v>0</v>
      </c>
      <c r="L15" s="14">
        <v>0</v>
      </c>
      <c r="M15" s="15">
        <v>1</v>
      </c>
      <c r="N15" s="15">
        <v>0</v>
      </c>
      <c r="O15" s="14">
        <v>0</v>
      </c>
      <c r="P15" s="14">
        <v>3.5493320192728999</v>
      </c>
      <c r="Q15" s="14"/>
      <c r="R15" s="14"/>
      <c r="S15" s="18"/>
    </row>
    <row r="16" spans="1:19" hidden="1" x14ac:dyDescent="0.3">
      <c r="A16" s="14">
        <v>15</v>
      </c>
      <c r="B16" s="14">
        <v>0</v>
      </c>
      <c r="C16" s="14" t="s">
        <v>34</v>
      </c>
      <c r="D16" s="14">
        <v>1</v>
      </c>
      <c r="E16" s="14" t="s">
        <v>18</v>
      </c>
      <c r="F16" s="16" t="s">
        <v>19</v>
      </c>
      <c r="G16" s="6">
        <f t="shared" si="0"/>
        <v>6.1103810775295999</v>
      </c>
      <c r="H16" s="6">
        <f t="shared" si="1"/>
        <v>0.50919842312746666</v>
      </c>
      <c r="I16" s="14">
        <v>39</v>
      </c>
      <c r="J16" s="14">
        <v>1</v>
      </c>
      <c r="K16" s="14">
        <v>0</v>
      </c>
      <c r="L16" s="14">
        <v>0</v>
      </c>
      <c r="M16" s="15">
        <v>0</v>
      </c>
      <c r="N16" s="15">
        <v>0</v>
      </c>
      <c r="O16" s="14">
        <v>0</v>
      </c>
      <c r="P16" s="14">
        <v>6.1103810775295999</v>
      </c>
      <c r="Q16" s="14"/>
      <c r="R16" s="14"/>
    </row>
    <row r="17" spans="1:18" hidden="1" x14ac:dyDescent="0.3">
      <c r="A17" s="14">
        <v>16</v>
      </c>
      <c r="B17" s="14">
        <v>0</v>
      </c>
      <c r="C17" s="14" t="s">
        <v>35</v>
      </c>
      <c r="D17" s="14">
        <v>1</v>
      </c>
      <c r="E17" s="14" t="s">
        <v>18</v>
      </c>
      <c r="F17" s="16" t="s">
        <v>25</v>
      </c>
      <c r="G17" s="6">
        <f t="shared" si="0"/>
        <v>9.6254927726674993</v>
      </c>
      <c r="H17" s="6">
        <f t="shared" si="1"/>
        <v>0.8021243977222916</v>
      </c>
      <c r="I17" s="14">
        <v>42</v>
      </c>
      <c r="J17" s="14">
        <v>1</v>
      </c>
      <c r="K17" s="14">
        <v>0</v>
      </c>
      <c r="L17" s="14">
        <v>0</v>
      </c>
      <c r="M17" s="15">
        <v>1</v>
      </c>
      <c r="N17" s="15">
        <v>0</v>
      </c>
      <c r="O17" s="14">
        <v>0</v>
      </c>
      <c r="P17" s="14">
        <v>5.9461235216819999</v>
      </c>
      <c r="Q17" s="14">
        <v>9.6254927726674993</v>
      </c>
      <c r="R17" s="14"/>
    </row>
    <row r="18" spans="1:18" hidden="1" x14ac:dyDescent="0.3">
      <c r="A18" s="14">
        <v>17</v>
      </c>
      <c r="B18" s="14">
        <v>0</v>
      </c>
      <c r="C18" s="14" t="s">
        <v>36</v>
      </c>
      <c r="D18" s="14">
        <v>1</v>
      </c>
      <c r="E18" s="14" t="s">
        <v>18</v>
      </c>
      <c r="F18" s="16" t="s">
        <v>25</v>
      </c>
      <c r="G18" s="6">
        <f t="shared" si="0"/>
        <v>12.122207621551</v>
      </c>
      <c r="H18" s="6">
        <f t="shared" si="1"/>
        <v>1.0101839684625833</v>
      </c>
      <c r="I18" s="14">
        <v>43</v>
      </c>
      <c r="J18" s="14">
        <v>1</v>
      </c>
      <c r="K18" s="14">
        <v>0</v>
      </c>
      <c r="L18" s="14">
        <v>0</v>
      </c>
      <c r="M18" s="15">
        <v>1</v>
      </c>
      <c r="N18" s="15">
        <v>0</v>
      </c>
      <c r="O18" s="14">
        <v>0</v>
      </c>
      <c r="P18" s="14">
        <v>12.122207621551</v>
      </c>
      <c r="Q18" s="14"/>
      <c r="R18" s="14"/>
    </row>
    <row r="19" spans="1:18" hidden="1" x14ac:dyDescent="0.3">
      <c r="A19" s="14">
        <v>18</v>
      </c>
      <c r="B19" s="14">
        <v>0</v>
      </c>
      <c r="C19" s="14" t="s">
        <v>37</v>
      </c>
      <c r="D19" s="14">
        <v>1</v>
      </c>
      <c r="E19" s="14" t="s">
        <v>18</v>
      </c>
      <c r="F19" s="16" t="s">
        <v>19</v>
      </c>
      <c r="G19" s="6">
        <f t="shared" si="0"/>
        <v>11.530880420499001</v>
      </c>
      <c r="H19" s="6">
        <f t="shared" si="1"/>
        <v>0.9609067017082501</v>
      </c>
      <c r="I19" s="14">
        <v>44</v>
      </c>
      <c r="J19" s="14">
        <v>1</v>
      </c>
      <c r="K19" s="14">
        <v>0</v>
      </c>
      <c r="L19" s="14">
        <v>0</v>
      </c>
      <c r="M19" s="15">
        <v>0</v>
      </c>
      <c r="N19" s="15">
        <v>0</v>
      </c>
      <c r="O19" s="14">
        <v>0</v>
      </c>
      <c r="P19" s="14">
        <v>11.530880420499001</v>
      </c>
      <c r="Q19" s="14"/>
      <c r="R19" s="14"/>
    </row>
    <row r="20" spans="1:18" hidden="1" x14ac:dyDescent="0.3">
      <c r="A20" s="14">
        <v>19</v>
      </c>
      <c r="B20" s="14">
        <v>0</v>
      </c>
      <c r="C20" s="14" t="s">
        <v>38</v>
      </c>
      <c r="D20" s="14">
        <v>1</v>
      </c>
      <c r="E20" s="14" t="s">
        <v>18</v>
      </c>
      <c r="F20" s="16" t="s">
        <v>25</v>
      </c>
      <c r="G20" s="6">
        <f t="shared" si="0"/>
        <v>10.183968462549</v>
      </c>
      <c r="H20" s="6">
        <f t="shared" si="1"/>
        <v>0.84866403854575001</v>
      </c>
      <c r="I20" s="14">
        <v>45</v>
      </c>
      <c r="J20" s="14">
        <v>1</v>
      </c>
      <c r="K20" s="14">
        <v>0</v>
      </c>
      <c r="L20" s="14">
        <v>0</v>
      </c>
      <c r="M20" s="15">
        <v>1</v>
      </c>
      <c r="N20" s="15">
        <v>0</v>
      </c>
      <c r="O20" s="14">
        <v>0</v>
      </c>
      <c r="P20" s="14">
        <v>10.183968462549</v>
      </c>
      <c r="Q20" s="14"/>
      <c r="R20" s="14"/>
    </row>
    <row r="21" spans="1:18" hidden="1" x14ac:dyDescent="0.3">
      <c r="A21" s="14">
        <v>20</v>
      </c>
      <c r="B21" s="14">
        <v>0</v>
      </c>
      <c r="C21" s="14" t="s">
        <v>39</v>
      </c>
      <c r="D21" s="14">
        <v>1</v>
      </c>
      <c r="E21" s="14" t="s">
        <v>18</v>
      </c>
      <c r="F21" s="16" t="s">
        <v>25</v>
      </c>
      <c r="G21" s="6">
        <f t="shared" si="0"/>
        <v>8.6727989487516002</v>
      </c>
      <c r="H21" s="6">
        <f t="shared" si="1"/>
        <v>0.72273324572929998</v>
      </c>
      <c r="I21" s="14">
        <v>46</v>
      </c>
      <c r="J21" s="14">
        <v>1</v>
      </c>
      <c r="K21" s="14">
        <v>0</v>
      </c>
      <c r="L21" s="14">
        <v>0</v>
      </c>
      <c r="M21" s="15">
        <v>0</v>
      </c>
      <c r="N21" s="15">
        <v>0</v>
      </c>
      <c r="O21" s="14">
        <v>0</v>
      </c>
      <c r="P21" s="14">
        <v>8.6727989487516002</v>
      </c>
      <c r="Q21" s="14"/>
      <c r="R21" s="14"/>
    </row>
    <row r="22" spans="1:18" hidden="1" x14ac:dyDescent="0.3">
      <c r="A22" s="14">
        <v>21</v>
      </c>
      <c r="B22" s="14">
        <v>0</v>
      </c>
      <c r="C22" s="14" t="s">
        <v>40</v>
      </c>
      <c r="D22" s="14">
        <v>1</v>
      </c>
      <c r="E22" s="14" t="s">
        <v>18</v>
      </c>
      <c r="F22" s="16" t="s">
        <v>19</v>
      </c>
      <c r="G22" s="6">
        <f t="shared" si="0"/>
        <v>6.8974485326324997</v>
      </c>
      <c r="H22" s="6">
        <f t="shared" si="1"/>
        <v>0.57478737771937494</v>
      </c>
      <c r="I22" s="14">
        <v>48</v>
      </c>
      <c r="J22" s="14">
        <v>1</v>
      </c>
      <c r="K22" s="14">
        <v>0</v>
      </c>
      <c r="L22" s="14">
        <v>0</v>
      </c>
      <c r="M22" s="15">
        <v>1</v>
      </c>
      <c r="N22" s="15">
        <v>0</v>
      </c>
      <c r="O22" s="14">
        <v>0</v>
      </c>
      <c r="P22" s="14">
        <v>6.8974485326324997</v>
      </c>
      <c r="Q22" s="14"/>
      <c r="R22" s="14"/>
    </row>
    <row r="23" spans="1:18" hidden="1" x14ac:dyDescent="0.3">
      <c r="A23" s="14">
        <v>22</v>
      </c>
      <c r="B23" s="14">
        <v>0</v>
      </c>
      <c r="C23" s="14" t="s">
        <v>41</v>
      </c>
      <c r="D23" s="14">
        <v>1</v>
      </c>
      <c r="E23" s="14" t="s">
        <v>18</v>
      </c>
      <c r="F23" s="16" t="s">
        <v>19</v>
      </c>
      <c r="G23" s="6">
        <f t="shared" si="0"/>
        <v>8.1143232588699004</v>
      </c>
      <c r="H23" s="6">
        <f t="shared" si="1"/>
        <v>0.67619360490582503</v>
      </c>
      <c r="I23" s="14">
        <v>49</v>
      </c>
      <c r="J23" s="14">
        <v>1</v>
      </c>
      <c r="K23" s="14">
        <v>0</v>
      </c>
      <c r="L23" s="14">
        <v>0</v>
      </c>
      <c r="M23" s="15">
        <v>0</v>
      </c>
      <c r="N23" s="15">
        <v>0</v>
      </c>
      <c r="O23" s="14">
        <v>0</v>
      </c>
      <c r="P23" s="14">
        <v>8.1143232588699004</v>
      </c>
      <c r="Q23" s="14"/>
      <c r="R23" s="14"/>
    </row>
    <row r="24" spans="1:18" hidden="1" x14ac:dyDescent="0.3">
      <c r="A24" s="14">
        <v>23</v>
      </c>
      <c r="B24" s="14">
        <v>0</v>
      </c>
      <c r="C24" s="14" t="s">
        <v>42</v>
      </c>
      <c r="D24" s="14">
        <v>1</v>
      </c>
      <c r="E24" s="14" t="s">
        <v>18</v>
      </c>
      <c r="F24" s="16" t="s">
        <v>25</v>
      </c>
      <c r="G24" s="6">
        <f t="shared" si="0"/>
        <v>11.366622864651999</v>
      </c>
      <c r="H24" s="6">
        <f t="shared" si="1"/>
        <v>0.94721857205433324</v>
      </c>
      <c r="I24" s="14">
        <v>52</v>
      </c>
      <c r="J24" s="14">
        <v>1</v>
      </c>
      <c r="K24" s="14">
        <v>0</v>
      </c>
      <c r="L24" s="14">
        <v>0</v>
      </c>
      <c r="M24" s="15">
        <v>0</v>
      </c>
      <c r="N24" s="15">
        <v>0</v>
      </c>
      <c r="O24" s="14">
        <v>0</v>
      </c>
      <c r="P24" s="14">
        <v>10.939553219447999</v>
      </c>
      <c r="Q24" s="14">
        <v>11.366622864651999</v>
      </c>
      <c r="R24" s="14"/>
    </row>
    <row r="25" spans="1:18" hidden="1" x14ac:dyDescent="0.3">
      <c r="A25" s="14">
        <v>24</v>
      </c>
      <c r="B25" s="14">
        <v>0</v>
      </c>
      <c r="C25" s="14" t="s">
        <v>43</v>
      </c>
      <c r="D25" s="14">
        <v>1</v>
      </c>
      <c r="E25" s="14" t="s">
        <v>18</v>
      </c>
      <c r="F25" s="16" t="s">
        <v>19</v>
      </c>
      <c r="G25" s="6">
        <f t="shared" si="0"/>
        <v>11.925098554533999</v>
      </c>
      <c r="H25" s="6">
        <f t="shared" si="1"/>
        <v>0.99375821287783328</v>
      </c>
      <c r="I25" s="14">
        <v>53</v>
      </c>
      <c r="J25" s="14">
        <v>1</v>
      </c>
      <c r="K25" s="14">
        <v>0</v>
      </c>
      <c r="L25" s="14">
        <v>0</v>
      </c>
      <c r="M25" s="15">
        <v>0</v>
      </c>
      <c r="N25" s="15">
        <v>0</v>
      </c>
      <c r="O25" s="14">
        <v>0</v>
      </c>
      <c r="P25" s="14">
        <v>11.925098554533999</v>
      </c>
      <c r="Q25" s="14"/>
      <c r="R25" s="14"/>
    </row>
    <row r="26" spans="1:18" hidden="1" x14ac:dyDescent="0.3">
      <c r="A26" s="14">
        <v>25</v>
      </c>
      <c r="B26" s="14">
        <v>0</v>
      </c>
      <c r="C26" s="14" t="s">
        <v>44</v>
      </c>
      <c r="D26" s="14">
        <v>1</v>
      </c>
      <c r="E26" s="14" t="s">
        <v>18</v>
      </c>
      <c r="F26" s="16" t="s">
        <v>25</v>
      </c>
      <c r="G26" s="6">
        <f t="shared" si="0"/>
        <v>11.925098554533999</v>
      </c>
      <c r="H26" s="6">
        <f t="shared" si="1"/>
        <v>0.99375821287783328</v>
      </c>
      <c r="I26" s="14">
        <v>54</v>
      </c>
      <c r="J26" s="14">
        <v>1</v>
      </c>
      <c r="K26" s="14">
        <v>0</v>
      </c>
      <c r="L26" s="14">
        <v>0</v>
      </c>
      <c r="M26" s="15">
        <v>0</v>
      </c>
      <c r="N26" s="15">
        <v>0</v>
      </c>
      <c r="O26" s="14">
        <v>0</v>
      </c>
      <c r="P26" s="14">
        <v>11.925098554533999</v>
      </c>
      <c r="Q26" s="14"/>
      <c r="R26" s="14"/>
    </row>
    <row r="27" spans="1:18" hidden="1" x14ac:dyDescent="0.3">
      <c r="A27" s="14">
        <v>26</v>
      </c>
      <c r="B27" s="14">
        <v>0</v>
      </c>
      <c r="C27" s="14" t="s">
        <v>45</v>
      </c>
      <c r="D27" s="14">
        <v>1</v>
      </c>
      <c r="E27" s="14" t="s">
        <v>18</v>
      </c>
      <c r="F27" s="16" t="s">
        <v>19</v>
      </c>
      <c r="G27" s="6">
        <f t="shared" si="0"/>
        <v>9.0984997809899006</v>
      </c>
      <c r="H27" s="6">
        <f t="shared" si="1"/>
        <v>0.75820831508249176</v>
      </c>
      <c r="I27" s="14">
        <v>55</v>
      </c>
      <c r="J27" s="14">
        <v>1</v>
      </c>
      <c r="K27" s="14">
        <v>0</v>
      </c>
      <c r="L27" s="14">
        <v>0</v>
      </c>
      <c r="M27" s="15">
        <v>0</v>
      </c>
      <c r="N27" s="15">
        <v>0</v>
      </c>
      <c r="O27" s="14">
        <v>0</v>
      </c>
      <c r="P27" s="14">
        <v>7.7187363118703001</v>
      </c>
      <c r="Q27" s="14">
        <v>9.0984997809899006</v>
      </c>
      <c r="R27" s="14"/>
    </row>
    <row r="28" spans="1:18" hidden="1" x14ac:dyDescent="0.3">
      <c r="A28" s="14">
        <v>27</v>
      </c>
      <c r="B28" s="14">
        <v>0</v>
      </c>
      <c r="C28" s="14" t="s">
        <v>46</v>
      </c>
      <c r="D28" s="14">
        <v>1</v>
      </c>
      <c r="E28" s="14" t="s">
        <v>18</v>
      </c>
      <c r="F28" s="16" t="s">
        <v>25</v>
      </c>
      <c r="G28" s="6">
        <f t="shared" si="0"/>
        <v>10.282522996058001</v>
      </c>
      <c r="H28" s="6">
        <f t="shared" si="1"/>
        <v>0.85687691633816676</v>
      </c>
      <c r="I28" s="14">
        <v>56</v>
      </c>
      <c r="J28" s="14">
        <v>1</v>
      </c>
      <c r="K28" s="14">
        <v>0</v>
      </c>
      <c r="L28" s="14">
        <v>0</v>
      </c>
      <c r="M28" s="15">
        <v>0</v>
      </c>
      <c r="N28" s="15">
        <v>0</v>
      </c>
      <c r="O28" s="14">
        <v>0</v>
      </c>
      <c r="P28" s="14">
        <v>10.282522996058001</v>
      </c>
      <c r="Q28" s="14"/>
      <c r="R28" s="14"/>
    </row>
    <row r="29" spans="1:18" hidden="1" x14ac:dyDescent="0.3">
      <c r="A29" s="14">
        <v>28</v>
      </c>
      <c r="B29" s="14">
        <v>0</v>
      </c>
      <c r="C29" s="14" t="s">
        <v>47</v>
      </c>
      <c r="D29" s="14">
        <v>1</v>
      </c>
      <c r="E29" s="14" t="s">
        <v>18</v>
      </c>
      <c r="F29" s="16" t="s">
        <v>19</v>
      </c>
      <c r="G29" s="6">
        <f t="shared" si="0"/>
        <v>7.9500657030223003</v>
      </c>
      <c r="H29" s="6">
        <f t="shared" si="1"/>
        <v>0.66250547525185832</v>
      </c>
      <c r="I29" s="14">
        <v>58</v>
      </c>
      <c r="J29" s="14">
        <v>1</v>
      </c>
      <c r="K29" s="14">
        <v>0</v>
      </c>
      <c r="L29" s="14">
        <v>0</v>
      </c>
      <c r="M29" s="15">
        <v>0</v>
      </c>
      <c r="N29" s="15">
        <v>0</v>
      </c>
      <c r="O29" s="14">
        <v>0</v>
      </c>
      <c r="P29" s="14">
        <v>6.4060446780552001</v>
      </c>
      <c r="Q29" s="14">
        <v>7.9500657030223003</v>
      </c>
      <c r="R29" s="14"/>
    </row>
    <row r="30" spans="1:18" hidden="1" x14ac:dyDescent="0.3">
      <c r="A30" s="14">
        <v>29</v>
      </c>
      <c r="B30" s="14">
        <v>0</v>
      </c>
      <c r="C30" s="14" t="s">
        <v>48</v>
      </c>
      <c r="D30" s="14">
        <v>1</v>
      </c>
      <c r="E30" s="14" t="s">
        <v>18</v>
      </c>
      <c r="F30" s="16" t="s">
        <v>19</v>
      </c>
      <c r="G30" s="6">
        <f t="shared" si="0"/>
        <v>5.0591327201051</v>
      </c>
      <c r="H30" s="6">
        <f t="shared" si="1"/>
        <v>0.42159439334209164</v>
      </c>
      <c r="I30" s="14">
        <v>60</v>
      </c>
      <c r="J30" s="14">
        <v>1</v>
      </c>
      <c r="K30" s="14">
        <v>0</v>
      </c>
      <c r="L30" s="14">
        <v>0</v>
      </c>
      <c r="M30" s="15">
        <v>1</v>
      </c>
      <c r="N30" s="15">
        <v>0</v>
      </c>
      <c r="O30" s="14">
        <v>0</v>
      </c>
      <c r="P30" s="14">
        <v>5.0591327201051</v>
      </c>
      <c r="Q30" s="14"/>
      <c r="R30" s="14"/>
    </row>
    <row r="31" spans="1:18" hidden="1" x14ac:dyDescent="0.3">
      <c r="A31" s="14">
        <v>30</v>
      </c>
      <c r="B31" s="14">
        <v>0</v>
      </c>
      <c r="C31" s="14" t="s">
        <v>49</v>
      </c>
      <c r="D31" s="14">
        <v>1</v>
      </c>
      <c r="E31" s="14" t="s">
        <v>18</v>
      </c>
      <c r="F31" s="16" t="s">
        <v>19</v>
      </c>
      <c r="G31" s="6">
        <f t="shared" si="0"/>
        <v>6.1760840998686</v>
      </c>
      <c r="H31" s="6">
        <f t="shared" si="1"/>
        <v>0.51467367498905003</v>
      </c>
      <c r="I31" s="14">
        <v>62</v>
      </c>
      <c r="J31" s="14">
        <v>1</v>
      </c>
      <c r="K31" s="14">
        <v>0</v>
      </c>
      <c r="L31" s="14">
        <v>0</v>
      </c>
      <c r="M31" s="15">
        <v>0</v>
      </c>
      <c r="N31" s="15">
        <v>0</v>
      </c>
      <c r="O31" s="14">
        <v>0</v>
      </c>
      <c r="P31" s="14">
        <v>6.1760840998686</v>
      </c>
      <c r="Q31" s="14"/>
      <c r="R31" s="14"/>
    </row>
    <row r="32" spans="1:18" hidden="1" x14ac:dyDescent="0.3">
      <c r="A32" s="14">
        <v>31</v>
      </c>
      <c r="B32" s="14">
        <v>0</v>
      </c>
      <c r="C32" s="14" t="s">
        <v>50</v>
      </c>
      <c r="D32" s="14">
        <v>1</v>
      </c>
      <c r="E32" s="14" t="s">
        <v>18</v>
      </c>
      <c r="F32" s="16" t="s">
        <v>19</v>
      </c>
      <c r="G32" s="6">
        <f t="shared" si="0"/>
        <v>6.3731931668856996</v>
      </c>
      <c r="H32" s="6">
        <f t="shared" si="1"/>
        <v>0.53109943057380826</v>
      </c>
      <c r="I32" s="14">
        <v>64</v>
      </c>
      <c r="J32" s="14">
        <v>1</v>
      </c>
      <c r="K32" s="14">
        <v>0</v>
      </c>
      <c r="L32" s="14">
        <v>0</v>
      </c>
      <c r="M32" s="15">
        <v>1</v>
      </c>
      <c r="N32" s="15">
        <v>0</v>
      </c>
      <c r="O32" s="14">
        <v>0</v>
      </c>
      <c r="P32" s="14">
        <v>5.2562417871221996</v>
      </c>
      <c r="Q32" s="14">
        <v>6.3731931668856996</v>
      </c>
      <c r="R32" s="14"/>
    </row>
    <row r="33" spans="1:18" hidden="1" x14ac:dyDescent="0.3">
      <c r="A33" s="14">
        <v>32</v>
      </c>
      <c r="B33" s="14">
        <v>0</v>
      </c>
      <c r="C33" s="14" t="s">
        <v>51</v>
      </c>
      <c r="D33" s="14">
        <v>1</v>
      </c>
      <c r="E33" s="14" t="s">
        <v>18</v>
      </c>
      <c r="F33" s="16" t="s">
        <v>19</v>
      </c>
      <c r="G33" s="6">
        <f t="shared" si="0"/>
        <v>4.6649145860710002</v>
      </c>
      <c r="H33" s="6">
        <f t="shared" si="1"/>
        <v>0.38874288217258335</v>
      </c>
      <c r="I33" s="14">
        <v>66</v>
      </c>
      <c r="J33" s="14">
        <v>1</v>
      </c>
      <c r="K33" s="14">
        <v>0</v>
      </c>
      <c r="L33" s="14">
        <v>0</v>
      </c>
      <c r="M33" s="15">
        <v>0</v>
      </c>
      <c r="N33" s="15">
        <v>0</v>
      </c>
      <c r="O33" s="14">
        <v>0</v>
      </c>
      <c r="P33" s="14">
        <v>4.6649145860710002</v>
      </c>
      <c r="Q33" s="14"/>
      <c r="R33" s="14"/>
    </row>
    <row r="34" spans="1:18" hidden="1" x14ac:dyDescent="0.3">
      <c r="A34" s="14">
        <v>33</v>
      </c>
      <c r="B34" s="14">
        <v>0</v>
      </c>
      <c r="C34" s="14" t="s">
        <v>52</v>
      </c>
      <c r="D34" s="14">
        <v>1</v>
      </c>
      <c r="E34" s="14" t="s">
        <v>18</v>
      </c>
      <c r="F34" s="16" t="s">
        <v>19</v>
      </c>
      <c r="G34" s="6">
        <f t="shared" si="0"/>
        <v>7.9500657030223003</v>
      </c>
      <c r="H34" s="6">
        <f t="shared" si="1"/>
        <v>0.66250547525185832</v>
      </c>
      <c r="I34" s="14">
        <v>68</v>
      </c>
      <c r="J34" s="14">
        <v>1</v>
      </c>
      <c r="K34" s="14">
        <v>0</v>
      </c>
      <c r="L34" s="14">
        <v>0</v>
      </c>
      <c r="M34" s="15">
        <v>0</v>
      </c>
      <c r="N34" s="15">
        <v>0</v>
      </c>
      <c r="O34" s="14">
        <v>0</v>
      </c>
      <c r="P34" s="14">
        <v>7.9500657030223003</v>
      </c>
      <c r="Q34" s="14"/>
      <c r="R34" s="14"/>
    </row>
    <row r="35" spans="1:18" hidden="1" x14ac:dyDescent="0.3">
      <c r="A35" s="14">
        <v>34</v>
      </c>
      <c r="B35" s="14">
        <v>0</v>
      </c>
      <c r="C35" s="14" t="s">
        <v>53</v>
      </c>
      <c r="D35" s="14">
        <v>1</v>
      </c>
      <c r="E35" s="14" t="s">
        <v>18</v>
      </c>
      <c r="F35" s="16" t="s">
        <v>25</v>
      </c>
      <c r="G35" s="6">
        <f t="shared" si="0"/>
        <v>3.2851511169514001</v>
      </c>
      <c r="H35" s="6">
        <f t="shared" si="1"/>
        <v>0.27376259307928336</v>
      </c>
      <c r="I35" s="14">
        <v>70</v>
      </c>
      <c r="J35" s="14">
        <v>1</v>
      </c>
      <c r="K35" s="14">
        <v>0</v>
      </c>
      <c r="L35" s="14">
        <v>0</v>
      </c>
      <c r="M35" s="15">
        <v>1</v>
      </c>
      <c r="N35" s="15">
        <v>0</v>
      </c>
      <c r="O35" s="14">
        <v>0</v>
      </c>
      <c r="P35" s="14">
        <v>3.2851511169514001</v>
      </c>
      <c r="Q35" s="14"/>
      <c r="R35" s="14"/>
    </row>
    <row r="36" spans="1:18" hidden="1" x14ac:dyDescent="0.3">
      <c r="A36" s="14">
        <v>35</v>
      </c>
      <c r="B36" s="14">
        <v>0</v>
      </c>
      <c r="C36" s="14" t="s">
        <v>54</v>
      </c>
      <c r="D36" s="14">
        <v>1</v>
      </c>
      <c r="E36" s="14" t="s">
        <v>18</v>
      </c>
      <c r="F36" s="16" t="s">
        <v>19</v>
      </c>
      <c r="G36" s="6">
        <f t="shared" si="0"/>
        <v>3.2522996057819</v>
      </c>
      <c r="H36" s="6">
        <f t="shared" si="1"/>
        <v>0.27102496714849167</v>
      </c>
      <c r="I36" s="14">
        <v>73</v>
      </c>
      <c r="J36" s="14">
        <v>1</v>
      </c>
      <c r="K36" s="14">
        <v>0</v>
      </c>
      <c r="L36" s="14">
        <v>0</v>
      </c>
      <c r="M36" s="15">
        <v>1</v>
      </c>
      <c r="N36" s="15">
        <v>0</v>
      </c>
      <c r="O36" s="14">
        <v>0</v>
      </c>
      <c r="P36" s="14">
        <v>3.2522996057819</v>
      </c>
      <c r="Q36" s="14"/>
      <c r="R36" s="14"/>
    </row>
    <row r="37" spans="1:18" hidden="1" x14ac:dyDescent="0.3">
      <c r="A37" s="14">
        <v>36</v>
      </c>
      <c r="B37" s="14">
        <v>0</v>
      </c>
      <c r="C37" s="14" t="s">
        <v>55</v>
      </c>
      <c r="D37" s="14">
        <v>1</v>
      </c>
      <c r="E37" s="14" t="s">
        <v>18</v>
      </c>
      <c r="F37" s="16" t="s">
        <v>25</v>
      </c>
      <c r="G37" s="6">
        <f t="shared" si="0"/>
        <v>5.6504599211563997</v>
      </c>
      <c r="H37" s="6">
        <f t="shared" si="1"/>
        <v>0.47087166009636666</v>
      </c>
      <c r="I37" s="14">
        <v>75</v>
      </c>
      <c r="J37" s="14">
        <v>1</v>
      </c>
      <c r="K37" s="14">
        <v>0</v>
      </c>
      <c r="L37" s="14">
        <v>0</v>
      </c>
      <c r="M37" s="15">
        <v>1</v>
      </c>
      <c r="N37" s="15">
        <v>0</v>
      </c>
      <c r="O37" s="14">
        <v>0</v>
      </c>
      <c r="P37" s="14">
        <v>5.6504599211563997</v>
      </c>
      <c r="Q37" s="14"/>
      <c r="R37" s="14"/>
    </row>
    <row r="38" spans="1:18" hidden="1" x14ac:dyDescent="0.3">
      <c r="A38" s="14">
        <v>37</v>
      </c>
      <c r="B38" s="14">
        <v>0</v>
      </c>
      <c r="C38" s="14" t="s">
        <v>56</v>
      </c>
      <c r="D38" s="14">
        <v>1</v>
      </c>
      <c r="E38" s="14" t="s">
        <v>18</v>
      </c>
      <c r="F38" s="16" t="s">
        <v>19</v>
      </c>
      <c r="G38" s="6">
        <f t="shared" si="0"/>
        <v>6.8317455102934996</v>
      </c>
      <c r="H38" s="6">
        <f t="shared" si="1"/>
        <v>0.56931212585779167</v>
      </c>
      <c r="I38" s="14">
        <v>77</v>
      </c>
      <c r="J38" s="14">
        <v>1</v>
      </c>
      <c r="K38" s="14">
        <v>0</v>
      </c>
      <c r="L38" s="14">
        <v>0</v>
      </c>
      <c r="M38" s="15">
        <v>1</v>
      </c>
      <c r="N38" s="15">
        <v>0</v>
      </c>
      <c r="O38" s="14">
        <v>0</v>
      </c>
      <c r="P38" s="14">
        <v>6.8317455102934996</v>
      </c>
      <c r="Q38" s="14"/>
      <c r="R38" s="14"/>
    </row>
    <row r="39" spans="1:18" hidden="1" x14ac:dyDescent="0.3">
      <c r="A39" s="14">
        <v>38</v>
      </c>
      <c r="B39" s="14">
        <v>0</v>
      </c>
      <c r="C39" s="14" t="s">
        <v>57</v>
      </c>
      <c r="D39" s="14">
        <v>1</v>
      </c>
      <c r="E39" s="14" t="s">
        <v>18</v>
      </c>
      <c r="F39" s="16" t="s">
        <v>19</v>
      </c>
      <c r="G39" s="6">
        <f t="shared" si="0"/>
        <v>6.1103810775295999</v>
      </c>
      <c r="H39" s="6">
        <f t="shared" si="1"/>
        <v>0.50919842312746666</v>
      </c>
      <c r="I39" s="14">
        <v>79</v>
      </c>
      <c r="J39" s="14">
        <v>1</v>
      </c>
      <c r="K39" s="14">
        <v>0</v>
      </c>
      <c r="L39" s="14">
        <v>0</v>
      </c>
      <c r="M39" s="15">
        <v>0</v>
      </c>
      <c r="N39" s="15">
        <v>0</v>
      </c>
      <c r="O39" s="14">
        <v>0</v>
      </c>
      <c r="P39" s="14">
        <v>6.1103810775295999</v>
      </c>
      <c r="Q39" s="14"/>
      <c r="R39" s="14"/>
    </row>
    <row r="40" spans="1:18" hidden="1" x14ac:dyDescent="0.3">
      <c r="A40" s="14">
        <v>39</v>
      </c>
      <c r="B40" s="14">
        <v>0</v>
      </c>
      <c r="C40" s="14" t="s">
        <v>58</v>
      </c>
      <c r="D40" s="14">
        <v>1</v>
      </c>
      <c r="E40" s="14" t="s">
        <v>18</v>
      </c>
      <c r="F40" s="16" t="s">
        <v>25</v>
      </c>
      <c r="G40" s="6">
        <f t="shared" si="0"/>
        <v>10.545335085414001</v>
      </c>
      <c r="H40" s="6">
        <f t="shared" si="1"/>
        <v>0.87877792378450004</v>
      </c>
      <c r="I40" s="14">
        <v>81</v>
      </c>
      <c r="J40" s="14">
        <v>1</v>
      </c>
      <c r="K40" s="14">
        <v>0</v>
      </c>
      <c r="L40" s="14">
        <v>0</v>
      </c>
      <c r="M40" s="15">
        <v>1</v>
      </c>
      <c r="N40" s="15">
        <v>0</v>
      </c>
      <c r="O40" s="14">
        <v>0</v>
      </c>
      <c r="P40" s="14">
        <v>10.545335085414001</v>
      </c>
      <c r="Q40" s="14"/>
      <c r="R40" s="14"/>
    </row>
    <row r="41" spans="1:18" hidden="1" x14ac:dyDescent="0.3">
      <c r="A41" s="14">
        <v>40</v>
      </c>
      <c r="B41" s="14">
        <v>0</v>
      </c>
      <c r="C41" s="14" t="s">
        <v>59</v>
      </c>
      <c r="D41" s="14">
        <v>1</v>
      </c>
      <c r="E41" s="14" t="s">
        <v>18</v>
      </c>
      <c r="F41" s="16" t="s">
        <v>19</v>
      </c>
      <c r="G41" s="6">
        <f t="shared" si="0"/>
        <v>9.7911191414805003</v>
      </c>
      <c r="H41" s="6">
        <f t="shared" si="1"/>
        <v>0.81592659512337506</v>
      </c>
      <c r="I41" s="14">
        <v>82</v>
      </c>
      <c r="J41" s="14">
        <v>1</v>
      </c>
      <c r="K41" s="14">
        <v>0</v>
      </c>
      <c r="L41" s="14">
        <v>0</v>
      </c>
      <c r="M41" s="15">
        <v>1</v>
      </c>
      <c r="N41" s="15">
        <v>0</v>
      </c>
      <c r="O41" s="14">
        <v>0</v>
      </c>
      <c r="P41" s="14">
        <v>9.7911191414805003</v>
      </c>
      <c r="Q41" s="14"/>
      <c r="R41" s="14"/>
    </row>
    <row r="42" spans="1:18" hidden="1" x14ac:dyDescent="0.3">
      <c r="A42" s="14">
        <v>41</v>
      </c>
      <c r="B42" s="14">
        <v>0</v>
      </c>
      <c r="C42" s="14" t="s">
        <v>60</v>
      </c>
      <c r="D42" s="14">
        <v>1</v>
      </c>
      <c r="E42" s="14" t="s">
        <v>18</v>
      </c>
      <c r="F42" s="16" t="s">
        <v>25</v>
      </c>
      <c r="G42" s="6">
        <f t="shared" si="0"/>
        <v>11.563731931669</v>
      </c>
      <c r="H42" s="6">
        <f t="shared" si="1"/>
        <v>0.96364432763908336</v>
      </c>
      <c r="I42" s="14">
        <v>83</v>
      </c>
      <c r="J42" s="14">
        <v>1</v>
      </c>
      <c r="K42" s="14">
        <v>0</v>
      </c>
      <c r="L42" s="14">
        <v>0</v>
      </c>
      <c r="M42" s="15">
        <v>1</v>
      </c>
      <c r="N42" s="15">
        <v>0</v>
      </c>
      <c r="O42" s="14">
        <v>0</v>
      </c>
      <c r="P42" s="14">
        <v>6.9645203679368999</v>
      </c>
      <c r="Q42" s="14">
        <v>11.563731931669</v>
      </c>
      <c r="R42" s="14"/>
    </row>
    <row r="43" spans="1:18" hidden="1" x14ac:dyDescent="0.3">
      <c r="A43" s="14">
        <v>42</v>
      </c>
      <c r="B43" s="14">
        <v>0</v>
      </c>
      <c r="C43" s="14" t="s">
        <v>61</v>
      </c>
      <c r="D43" s="14">
        <v>1</v>
      </c>
      <c r="E43" s="14" t="s">
        <v>18</v>
      </c>
      <c r="F43" s="16" t="s">
        <v>25</v>
      </c>
      <c r="G43" s="6">
        <f t="shared" si="0"/>
        <v>11.202365308804</v>
      </c>
      <c r="H43" s="6">
        <f t="shared" si="1"/>
        <v>0.93353044240033334</v>
      </c>
      <c r="I43" s="14">
        <v>84</v>
      </c>
      <c r="J43" s="14">
        <v>1</v>
      </c>
      <c r="K43" s="14">
        <v>0</v>
      </c>
      <c r="L43" s="14">
        <v>0</v>
      </c>
      <c r="M43" s="15">
        <v>0</v>
      </c>
      <c r="N43" s="15">
        <v>0</v>
      </c>
      <c r="O43" s="14">
        <v>0</v>
      </c>
      <c r="P43" s="14">
        <v>4.1392904073586996</v>
      </c>
      <c r="Q43" s="14">
        <v>11.202365308804</v>
      </c>
      <c r="R43" s="14"/>
    </row>
    <row r="44" spans="1:18" hidden="1" x14ac:dyDescent="0.3">
      <c r="A44" s="14">
        <v>43</v>
      </c>
      <c r="B44" s="14">
        <v>0</v>
      </c>
      <c r="C44" s="14" t="s">
        <v>62</v>
      </c>
      <c r="D44" s="14">
        <v>1</v>
      </c>
      <c r="E44" s="14" t="s">
        <v>18</v>
      </c>
      <c r="F44" s="16" t="s">
        <v>19</v>
      </c>
      <c r="G44" s="6">
        <f t="shared" si="0"/>
        <v>5.4862023653087997</v>
      </c>
      <c r="H44" s="6">
        <f t="shared" si="1"/>
        <v>0.45718353044239995</v>
      </c>
      <c r="I44" s="14">
        <v>85</v>
      </c>
      <c r="J44" s="14">
        <v>1</v>
      </c>
      <c r="K44" s="14">
        <v>0</v>
      </c>
      <c r="L44" s="14">
        <v>0</v>
      </c>
      <c r="M44" s="15">
        <v>0</v>
      </c>
      <c r="N44" s="15">
        <v>0</v>
      </c>
      <c r="O44" s="14">
        <v>0</v>
      </c>
      <c r="P44" s="14">
        <v>5.4862023653087997</v>
      </c>
      <c r="Q44" s="14"/>
      <c r="R44" s="14"/>
    </row>
    <row r="45" spans="1:18" hidden="1" x14ac:dyDescent="0.3">
      <c r="A45" s="14">
        <v>44</v>
      </c>
      <c r="B45" s="14">
        <v>0</v>
      </c>
      <c r="C45" s="14" t="s">
        <v>63</v>
      </c>
      <c r="D45" s="14">
        <v>1</v>
      </c>
      <c r="E45" s="14" t="s">
        <v>18</v>
      </c>
      <c r="F45" s="16" t="s">
        <v>19</v>
      </c>
      <c r="G45" s="6">
        <f t="shared" si="0"/>
        <v>4.9605781865966003</v>
      </c>
      <c r="H45" s="6">
        <f t="shared" si="1"/>
        <v>0.41338151554971669</v>
      </c>
      <c r="I45" s="14">
        <v>86</v>
      </c>
      <c r="J45" s="14">
        <v>1</v>
      </c>
      <c r="K45" s="14">
        <v>0</v>
      </c>
      <c r="L45" s="14">
        <v>0</v>
      </c>
      <c r="M45" s="15">
        <v>0</v>
      </c>
      <c r="N45" s="15">
        <v>0</v>
      </c>
      <c r="O45" s="14">
        <v>0</v>
      </c>
      <c r="P45" s="14">
        <v>4.9605781865966003</v>
      </c>
      <c r="Q45" s="14"/>
      <c r="R45" s="14"/>
    </row>
    <row r="46" spans="1:18" hidden="1" x14ac:dyDescent="0.3">
      <c r="A46" s="14">
        <v>45</v>
      </c>
      <c r="B46" s="14">
        <v>0</v>
      </c>
      <c r="C46" s="14" t="s">
        <v>64</v>
      </c>
      <c r="D46" s="14">
        <v>1</v>
      </c>
      <c r="E46" s="14" t="s">
        <v>18</v>
      </c>
      <c r="F46" s="16" t="s">
        <v>19</v>
      </c>
      <c r="G46" s="6">
        <f t="shared" si="0"/>
        <v>7.0302233902760003</v>
      </c>
      <c r="H46" s="6">
        <f t="shared" si="1"/>
        <v>0.58585194918966665</v>
      </c>
      <c r="I46" s="14">
        <v>89</v>
      </c>
      <c r="J46" s="14">
        <v>1</v>
      </c>
      <c r="K46" s="14">
        <v>0</v>
      </c>
      <c r="L46" s="14">
        <v>0</v>
      </c>
      <c r="M46" s="15">
        <v>1</v>
      </c>
      <c r="N46" s="15">
        <v>0</v>
      </c>
      <c r="O46" s="14">
        <v>0</v>
      </c>
      <c r="P46" s="14">
        <v>7.0302233902760003</v>
      </c>
      <c r="Q46" s="14"/>
      <c r="R46" s="14"/>
    </row>
    <row r="47" spans="1:18" hidden="1" x14ac:dyDescent="0.3">
      <c r="A47" s="14">
        <v>46</v>
      </c>
      <c r="B47" s="14">
        <v>0</v>
      </c>
      <c r="C47" s="14" t="s">
        <v>65</v>
      </c>
      <c r="D47" s="14">
        <v>1</v>
      </c>
      <c r="E47" s="14" t="s">
        <v>18</v>
      </c>
      <c r="F47" s="16" t="s">
        <v>25</v>
      </c>
      <c r="G47" s="6">
        <f t="shared" si="0"/>
        <v>4.1721419185283004</v>
      </c>
      <c r="H47" s="6">
        <f t="shared" si="1"/>
        <v>0.34767849321069172</v>
      </c>
      <c r="I47" s="14">
        <v>90</v>
      </c>
      <c r="J47" s="14">
        <v>1</v>
      </c>
      <c r="K47" s="14">
        <v>0</v>
      </c>
      <c r="L47" s="14">
        <v>0</v>
      </c>
      <c r="M47" s="15">
        <v>0</v>
      </c>
      <c r="N47" s="15">
        <v>0</v>
      </c>
      <c r="O47" s="14">
        <v>0</v>
      </c>
      <c r="P47" s="14">
        <v>4.1721419185283004</v>
      </c>
      <c r="Q47" s="14"/>
      <c r="R47" s="14"/>
    </row>
    <row r="48" spans="1:18" hidden="1" x14ac:dyDescent="0.3">
      <c r="A48" s="14">
        <v>47</v>
      </c>
      <c r="B48" s="14">
        <v>0</v>
      </c>
      <c r="C48" s="14" t="s">
        <v>66</v>
      </c>
      <c r="D48" s="14">
        <v>1</v>
      </c>
      <c r="E48" s="14" t="s">
        <v>18</v>
      </c>
      <c r="F48" s="16" t="s">
        <v>19</v>
      </c>
      <c r="G48" s="6">
        <f t="shared" si="0"/>
        <v>9.2299058256680002</v>
      </c>
      <c r="H48" s="6">
        <f t="shared" si="1"/>
        <v>0.76915881880566672</v>
      </c>
      <c r="I48" s="14">
        <v>91</v>
      </c>
      <c r="J48" s="14">
        <v>1</v>
      </c>
      <c r="K48" s="14">
        <v>0</v>
      </c>
      <c r="L48" s="14">
        <v>0</v>
      </c>
      <c r="M48" s="15">
        <v>0</v>
      </c>
      <c r="N48" s="15">
        <v>0</v>
      </c>
      <c r="O48" s="14">
        <v>0</v>
      </c>
      <c r="P48" s="14">
        <v>9.2299058256680002</v>
      </c>
      <c r="Q48" s="14"/>
      <c r="R48" s="14"/>
    </row>
    <row r="49" spans="1:18" hidden="1" x14ac:dyDescent="0.3">
      <c r="A49" s="14">
        <v>48</v>
      </c>
      <c r="B49" s="14">
        <v>0</v>
      </c>
      <c r="C49" s="14" t="s">
        <v>67</v>
      </c>
      <c r="D49" s="14">
        <v>1</v>
      </c>
      <c r="E49" s="14" t="s">
        <v>18</v>
      </c>
      <c r="F49" s="16" t="s">
        <v>19</v>
      </c>
      <c r="G49" s="6">
        <f t="shared" si="0"/>
        <v>11.826544021025001</v>
      </c>
      <c r="H49" s="6">
        <f t="shared" si="1"/>
        <v>0.98554533508541675</v>
      </c>
      <c r="I49" s="14">
        <v>92</v>
      </c>
      <c r="J49" s="14">
        <v>1</v>
      </c>
      <c r="K49" s="14">
        <v>0</v>
      </c>
      <c r="L49" s="14">
        <v>0</v>
      </c>
      <c r="M49" s="15">
        <v>1</v>
      </c>
      <c r="N49" s="15">
        <v>0</v>
      </c>
      <c r="O49" s="14">
        <v>0</v>
      </c>
      <c r="P49" s="14">
        <v>11.826544021025001</v>
      </c>
      <c r="Q49" s="14"/>
      <c r="R49" s="14"/>
    </row>
    <row r="50" spans="1:18" hidden="1" x14ac:dyDescent="0.3">
      <c r="A50" s="14">
        <v>49</v>
      </c>
      <c r="B50" s="14">
        <v>0</v>
      </c>
      <c r="C50" s="14" t="s">
        <v>68</v>
      </c>
      <c r="D50" s="14">
        <v>1</v>
      </c>
      <c r="E50" s="14" t="s">
        <v>18</v>
      </c>
      <c r="F50" s="16" t="s">
        <v>25</v>
      </c>
      <c r="G50" s="6">
        <f t="shared" si="0"/>
        <v>8.8042049934296998</v>
      </c>
      <c r="H50" s="6">
        <f t="shared" si="1"/>
        <v>0.73368374945247494</v>
      </c>
      <c r="I50" s="14">
        <v>93</v>
      </c>
      <c r="J50" s="14">
        <v>1</v>
      </c>
      <c r="K50" s="14">
        <v>0</v>
      </c>
      <c r="L50" s="14">
        <v>0</v>
      </c>
      <c r="M50" s="15">
        <v>0</v>
      </c>
      <c r="N50" s="15">
        <v>0</v>
      </c>
      <c r="O50" s="14">
        <v>0</v>
      </c>
      <c r="P50" s="14">
        <v>8.8042049934296998</v>
      </c>
      <c r="Q50" s="14"/>
      <c r="R50" s="14"/>
    </row>
    <row r="51" spans="1:18" hidden="1" x14ac:dyDescent="0.3">
      <c r="A51" s="14">
        <v>50</v>
      </c>
      <c r="B51" s="14">
        <v>0</v>
      </c>
      <c r="C51" s="14" t="s">
        <v>69</v>
      </c>
      <c r="D51" s="14">
        <v>1</v>
      </c>
      <c r="E51" s="14" t="s">
        <v>18</v>
      </c>
      <c r="F51" s="16" t="s">
        <v>25</v>
      </c>
      <c r="G51" s="6">
        <f t="shared" si="0"/>
        <v>12.910643889618999</v>
      </c>
      <c r="H51" s="6">
        <f t="shared" si="1"/>
        <v>1.0758869908015833</v>
      </c>
      <c r="I51" s="14">
        <v>96</v>
      </c>
      <c r="J51" s="14">
        <v>1</v>
      </c>
      <c r="K51" s="14">
        <v>0</v>
      </c>
      <c r="L51" s="14">
        <v>0</v>
      </c>
      <c r="M51" s="15">
        <v>1</v>
      </c>
      <c r="N51" s="15">
        <v>0</v>
      </c>
      <c r="O51" s="14">
        <v>0</v>
      </c>
      <c r="P51" s="14">
        <v>12.910643889618999</v>
      </c>
      <c r="Q51" s="14">
        <v>8.9684625492772998</v>
      </c>
      <c r="R51" s="14"/>
    </row>
    <row r="52" spans="1:18" hidden="1" x14ac:dyDescent="0.3">
      <c r="A52" s="14">
        <v>51</v>
      </c>
      <c r="B52" s="14">
        <v>0</v>
      </c>
      <c r="C52" s="14" t="s">
        <v>70</v>
      </c>
      <c r="D52" s="14">
        <v>1</v>
      </c>
      <c r="E52" s="14" t="s">
        <v>18</v>
      </c>
      <c r="F52" s="16" t="s">
        <v>25</v>
      </c>
      <c r="G52" s="6">
        <f t="shared" si="0"/>
        <v>5.7161629434953998</v>
      </c>
      <c r="H52" s="6">
        <f t="shared" si="1"/>
        <v>0.47634691195794998</v>
      </c>
      <c r="I52" s="14">
        <v>97</v>
      </c>
      <c r="J52" s="14">
        <v>1</v>
      </c>
      <c r="K52" s="14">
        <v>0</v>
      </c>
      <c r="L52" s="14">
        <v>0</v>
      </c>
      <c r="M52" s="15">
        <v>0</v>
      </c>
      <c r="N52" s="15">
        <v>0</v>
      </c>
      <c r="O52" s="14">
        <v>0</v>
      </c>
      <c r="P52" s="14">
        <v>5.7161629434953998</v>
      </c>
      <c r="Q52" s="14"/>
      <c r="R52" s="14"/>
    </row>
    <row r="53" spans="1:18" hidden="1" x14ac:dyDescent="0.3">
      <c r="A53" s="14">
        <v>52</v>
      </c>
      <c r="B53" s="14">
        <v>0</v>
      </c>
      <c r="C53" s="14" t="s">
        <v>71</v>
      </c>
      <c r="D53" s="14">
        <v>1</v>
      </c>
      <c r="E53" s="14" t="s">
        <v>18</v>
      </c>
      <c r="F53" s="16" t="s">
        <v>19</v>
      </c>
      <c r="G53" s="6">
        <f t="shared" si="0"/>
        <v>11.990801576873</v>
      </c>
      <c r="H53" s="6">
        <f t="shared" si="1"/>
        <v>0.99923346473941665</v>
      </c>
      <c r="I53" s="14">
        <v>99</v>
      </c>
      <c r="J53" s="14">
        <v>1</v>
      </c>
      <c r="K53" s="14">
        <v>0</v>
      </c>
      <c r="L53" s="14">
        <v>0</v>
      </c>
      <c r="M53" s="15">
        <v>1</v>
      </c>
      <c r="N53" s="15">
        <v>0</v>
      </c>
      <c r="O53" s="14">
        <v>0</v>
      </c>
      <c r="P53" s="14">
        <v>11.990801576873</v>
      </c>
      <c r="Q53" s="14"/>
      <c r="R53" s="14"/>
    </row>
    <row r="54" spans="1:18" hidden="1" x14ac:dyDescent="0.3">
      <c r="A54" s="14">
        <v>53</v>
      </c>
      <c r="B54" s="14">
        <v>0</v>
      </c>
      <c r="C54" s="14" t="s">
        <v>72</v>
      </c>
      <c r="D54" s="14">
        <v>1</v>
      </c>
      <c r="E54" s="14" t="s">
        <v>18</v>
      </c>
      <c r="F54" s="16" t="s">
        <v>25</v>
      </c>
      <c r="G54" s="6">
        <f t="shared" si="0"/>
        <v>4.9619469995619996</v>
      </c>
      <c r="H54" s="6">
        <f t="shared" si="1"/>
        <v>0.41349558329683328</v>
      </c>
      <c r="I54" s="14">
        <v>101</v>
      </c>
      <c r="J54" s="14">
        <v>1</v>
      </c>
      <c r="K54" s="14">
        <v>0</v>
      </c>
      <c r="L54" s="14">
        <v>0</v>
      </c>
      <c r="M54" s="15">
        <v>1</v>
      </c>
      <c r="N54" s="15">
        <v>0</v>
      </c>
      <c r="O54" s="14">
        <v>0</v>
      </c>
      <c r="P54" s="14">
        <v>4.9619469995619996</v>
      </c>
      <c r="Q54" s="14"/>
      <c r="R54" s="14"/>
    </row>
    <row r="55" spans="1:18" hidden="1" x14ac:dyDescent="0.3">
      <c r="A55" s="14">
        <v>54</v>
      </c>
      <c r="B55" s="14">
        <v>0</v>
      </c>
      <c r="C55" s="14" t="s">
        <v>73</v>
      </c>
      <c r="D55" s="14">
        <v>1</v>
      </c>
      <c r="E55" s="14" t="s">
        <v>18</v>
      </c>
      <c r="F55" s="16" t="s">
        <v>25</v>
      </c>
      <c r="G55" s="6">
        <f t="shared" si="0"/>
        <v>5.3547963206307001</v>
      </c>
      <c r="H55" s="6">
        <f t="shared" si="1"/>
        <v>0.44623302671922499</v>
      </c>
      <c r="I55" s="14">
        <v>102</v>
      </c>
      <c r="J55" s="14">
        <v>1</v>
      </c>
      <c r="K55" s="14">
        <v>0</v>
      </c>
      <c r="L55" s="14">
        <v>0</v>
      </c>
      <c r="M55" s="15">
        <v>1</v>
      </c>
      <c r="N55" s="15">
        <v>0</v>
      </c>
      <c r="O55" s="14">
        <v>0</v>
      </c>
      <c r="P55" s="14">
        <v>5.3547963206307001</v>
      </c>
      <c r="Q55" s="14"/>
      <c r="R55" s="14"/>
    </row>
    <row r="56" spans="1:18" hidden="1" x14ac:dyDescent="0.3">
      <c r="A56" s="14">
        <v>55</v>
      </c>
      <c r="B56" s="14">
        <v>0</v>
      </c>
      <c r="C56" s="14" t="s">
        <v>74</v>
      </c>
      <c r="D56" s="14">
        <v>1</v>
      </c>
      <c r="E56" s="14" t="s">
        <v>18</v>
      </c>
      <c r="F56" s="16" t="s">
        <v>19</v>
      </c>
      <c r="G56" s="6">
        <f t="shared" si="0"/>
        <v>4.9605781865966003</v>
      </c>
      <c r="H56" s="6">
        <f t="shared" si="1"/>
        <v>0.41338151554971669</v>
      </c>
      <c r="I56" s="14">
        <v>103</v>
      </c>
      <c r="J56" s="14">
        <v>1</v>
      </c>
      <c r="K56" s="14">
        <v>0</v>
      </c>
      <c r="L56" s="14">
        <v>0</v>
      </c>
      <c r="M56" s="15">
        <v>1</v>
      </c>
      <c r="N56" s="15">
        <v>0</v>
      </c>
      <c r="O56" s="14">
        <v>0</v>
      </c>
      <c r="P56" s="14">
        <v>4.9605781865966003</v>
      </c>
      <c r="Q56" s="14"/>
      <c r="R56" s="14"/>
    </row>
    <row r="57" spans="1:18" hidden="1" x14ac:dyDescent="0.3">
      <c r="A57" s="14">
        <v>56</v>
      </c>
      <c r="B57" s="14">
        <v>0</v>
      </c>
      <c r="C57" s="14" t="s">
        <v>75</v>
      </c>
      <c r="D57" s="14">
        <v>1</v>
      </c>
      <c r="E57" s="14" t="s">
        <v>18</v>
      </c>
      <c r="F57" s="16" t="s">
        <v>25</v>
      </c>
      <c r="G57" s="6">
        <f t="shared" si="0"/>
        <v>6.9658891809023</v>
      </c>
      <c r="H57" s="6">
        <f t="shared" si="1"/>
        <v>0.58049076507519171</v>
      </c>
      <c r="I57" s="14">
        <v>104</v>
      </c>
      <c r="J57" s="14">
        <v>1</v>
      </c>
      <c r="K57" s="14">
        <v>0</v>
      </c>
      <c r="L57" s="14">
        <v>0</v>
      </c>
      <c r="M57" s="15">
        <v>0</v>
      </c>
      <c r="N57" s="15">
        <v>0</v>
      </c>
      <c r="O57" s="14">
        <v>0</v>
      </c>
      <c r="P57" s="14">
        <v>6.9658891809023</v>
      </c>
      <c r="Q57" s="14"/>
      <c r="R57" s="14"/>
    </row>
    <row r="58" spans="1:18" hidden="1" x14ac:dyDescent="0.3">
      <c r="A58" s="14">
        <v>57</v>
      </c>
      <c r="B58" s="14">
        <v>0</v>
      </c>
      <c r="C58" s="14" t="s">
        <v>76</v>
      </c>
      <c r="D58" s="14">
        <v>1</v>
      </c>
      <c r="E58" s="14" t="s">
        <v>18</v>
      </c>
      <c r="F58" s="16" t="s">
        <v>19</v>
      </c>
      <c r="G58" s="6">
        <f t="shared" si="0"/>
        <v>5.6176084099869001</v>
      </c>
      <c r="H58" s="6">
        <f t="shared" si="1"/>
        <v>0.46813403416557503</v>
      </c>
      <c r="I58" s="14">
        <v>105</v>
      </c>
      <c r="J58" s="14">
        <v>1</v>
      </c>
      <c r="K58" s="14">
        <v>0</v>
      </c>
      <c r="L58" s="14">
        <v>0</v>
      </c>
      <c r="M58" s="15">
        <v>1</v>
      </c>
      <c r="N58" s="15">
        <v>0</v>
      </c>
      <c r="O58" s="14">
        <v>0</v>
      </c>
      <c r="P58" s="14">
        <v>5.6176084099869001</v>
      </c>
      <c r="Q58" s="14"/>
      <c r="R58" s="14"/>
    </row>
    <row r="59" spans="1:18" hidden="1" x14ac:dyDescent="0.3">
      <c r="A59" s="14">
        <v>58</v>
      </c>
      <c r="B59" s="14">
        <v>0</v>
      </c>
      <c r="C59" s="14" t="s">
        <v>77</v>
      </c>
      <c r="D59" s="14">
        <v>1</v>
      </c>
      <c r="E59" s="14" t="s">
        <v>18</v>
      </c>
      <c r="F59" s="16" t="s">
        <v>19</v>
      </c>
      <c r="G59" s="6">
        <f t="shared" si="0"/>
        <v>7.8186596583443002</v>
      </c>
      <c r="H59" s="6">
        <f t="shared" si="1"/>
        <v>0.65155497152869168</v>
      </c>
      <c r="I59" s="14">
        <v>106</v>
      </c>
      <c r="J59" s="14">
        <v>1</v>
      </c>
      <c r="K59" s="14">
        <v>0</v>
      </c>
      <c r="L59" s="14">
        <v>0</v>
      </c>
      <c r="M59" s="15">
        <v>1</v>
      </c>
      <c r="N59" s="15">
        <v>0</v>
      </c>
      <c r="O59" s="14">
        <v>0</v>
      </c>
      <c r="P59" s="14">
        <v>7.8186596583443002</v>
      </c>
      <c r="Q59" s="14"/>
      <c r="R59" s="14"/>
    </row>
    <row r="60" spans="1:18" hidden="1" x14ac:dyDescent="0.3">
      <c r="A60" s="14">
        <v>59</v>
      </c>
      <c r="B60" s="14">
        <v>0</v>
      </c>
      <c r="C60" s="14" t="s">
        <v>78</v>
      </c>
      <c r="D60" s="14">
        <v>1</v>
      </c>
      <c r="E60" s="14" t="s">
        <v>18</v>
      </c>
      <c r="F60" s="16" t="s">
        <v>25</v>
      </c>
      <c r="G60" s="6">
        <f t="shared" si="0"/>
        <v>5.6846802452913003</v>
      </c>
      <c r="H60" s="6">
        <f t="shared" si="1"/>
        <v>0.47372335377427505</v>
      </c>
      <c r="I60" s="14">
        <v>108</v>
      </c>
      <c r="J60" s="14">
        <v>1</v>
      </c>
      <c r="K60" s="14">
        <v>0</v>
      </c>
      <c r="L60" s="14">
        <v>0</v>
      </c>
      <c r="M60" s="15">
        <v>1</v>
      </c>
      <c r="N60" s="15">
        <v>0</v>
      </c>
      <c r="O60" s="14">
        <v>0</v>
      </c>
      <c r="P60" s="14">
        <v>5.6846802452913003</v>
      </c>
      <c r="Q60" s="14"/>
      <c r="R60" s="14"/>
    </row>
    <row r="61" spans="1:18" hidden="1" x14ac:dyDescent="0.3">
      <c r="A61" s="14">
        <v>60</v>
      </c>
      <c r="B61" s="14">
        <v>0</v>
      </c>
      <c r="C61" s="14" t="s">
        <v>79</v>
      </c>
      <c r="D61" s="14">
        <v>1</v>
      </c>
      <c r="E61" s="14" t="s">
        <v>18</v>
      </c>
      <c r="F61" s="16" t="s">
        <v>19</v>
      </c>
      <c r="G61" s="6">
        <f t="shared" si="0"/>
        <v>7.7871769601401999</v>
      </c>
      <c r="H61" s="6">
        <f t="shared" si="1"/>
        <v>0.64893141334501669</v>
      </c>
      <c r="I61" s="14">
        <v>109</v>
      </c>
      <c r="J61" s="14">
        <v>1</v>
      </c>
      <c r="K61" s="14">
        <v>0</v>
      </c>
      <c r="L61" s="14">
        <v>0</v>
      </c>
      <c r="M61" s="15">
        <v>1</v>
      </c>
      <c r="N61" s="15">
        <v>0</v>
      </c>
      <c r="O61" s="14">
        <v>0</v>
      </c>
      <c r="P61" s="14">
        <v>7.7871769601401999</v>
      </c>
      <c r="Q61" s="14"/>
      <c r="R61" s="14"/>
    </row>
    <row r="62" spans="1:18" hidden="1" x14ac:dyDescent="0.3">
      <c r="A62" s="14">
        <v>61</v>
      </c>
      <c r="B62" s="14">
        <v>0</v>
      </c>
      <c r="C62" s="14" t="s">
        <v>80</v>
      </c>
      <c r="D62" s="14">
        <v>1</v>
      </c>
      <c r="E62" s="14" t="s">
        <v>18</v>
      </c>
      <c r="F62" s="16" t="s">
        <v>25</v>
      </c>
      <c r="G62" s="6">
        <f t="shared" si="0"/>
        <v>8.8042049934296998</v>
      </c>
      <c r="H62" s="6">
        <f t="shared" si="1"/>
        <v>0.73368374945247494</v>
      </c>
      <c r="I62" s="14">
        <v>111</v>
      </c>
      <c r="J62" s="14">
        <v>1</v>
      </c>
      <c r="K62" s="14">
        <v>0</v>
      </c>
      <c r="L62" s="14">
        <v>0</v>
      </c>
      <c r="M62" s="15">
        <v>1</v>
      </c>
      <c r="N62" s="15">
        <v>0</v>
      </c>
      <c r="O62" s="14">
        <v>0</v>
      </c>
      <c r="P62" s="14">
        <v>8.0486202365308994</v>
      </c>
      <c r="Q62" s="14">
        <v>8.8042049934296998</v>
      </c>
      <c r="R62" s="14"/>
    </row>
    <row r="63" spans="1:18" hidden="1" x14ac:dyDescent="0.3">
      <c r="A63" s="14">
        <v>62</v>
      </c>
      <c r="B63" s="14">
        <v>0</v>
      </c>
      <c r="C63" s="14" t="s">
        <v>81</v>
      </c>
      <c r="D63" s="14">
        <v>1</v>
      </c>
      <c r="E63" s="14" t="s">
        <v>18</v>
      </c>
      <c r="F63" s="16" t="s">
        <v>19</v>
      </c>
      <c r="G63" s="6">
        <f t="shared" si="0"/>
        <v>4.4664367060885004</v>
      </c>
      <c r="H63" s="6">
        <f t="shared" si="1"/>
        <v>0.37220305884070837</v>
      </c>
      <c r="I63" s="14">
        <v>112</v>
      </c>
      <c r="J63" s="14">
        <v>1</v>
      </c>
      <c r="K63" s="14">
        <v>0</v>
      </c>
      <c r="L63" s="14">
        <v>0</v>
      </c>
      <c r="M63" s="15">
        <v>1</v>
      </c>
      <c r="N63" s="15">
        <v>0</v>
      </c>
      <c r="O63" s="14">
        <v>0</v>
      </c>
      <c r="P63" s="14">
        <v>4.4664367060885004</v>
      </c>
      <c r="Q63" s="14"/>
      <c r="R63" s="14"/>
    </row>
    <row r="64" spans="1:18" hidden="1" x14ac:dyDescent="0.3">
      <c r="A64" s="14">
        <v>63</v>
      </c>
      <c r="B64" s="14">
        <v>0</v>
      </c>
      <c r="C64" s="15" t="s">
        <v>82</v>
      </c>
      <c r="D64" s="14">
        <v>1</v>
      </c>
      <c r="E64" s="14" t="s">
        <v>83</v>
      </c>
      <c r="F64" s="17" t="s">
        <v>25</v>
      </c>
      <c r="G64" s="6">
        <f t="shared" si="0"/>
        <v>20.302233902760001</v>
      </c>
      <c r="H64" s="6">
        <f t="shared" si="1"/>
        <v>1.69185282523</v>
      </c>
      <c r="I64" s="14">
        <v>234</v>
      </c>
      <c r="J64" s="14">
        <v>1</v>
      </c>
      <c r="K64" s="14">
        <v>0</v>
      </c>
      <c r="L64" s="14">
        <v>0</v>
      </c>
      <c r="M64" s="15">
        <v>0</v>
      </c>
      <c r="N64" s="15">
        <v>0</v>
      </c>
      <c r="O64" s="14">
        <v>0</v>
      </c>
      <c r="P64" s="15">
        <v>20.302233902760001</v>
      </c>
      <c r="Q64" s="15"/>
      <c r="R64" s="15"/>
    </row>
    <row r="65" spans="1:18" hidden="1" x14ac:dyDescent="0.3">
      <c r="A65" s="14">
        <v>64</v>
      </c>
      <c r="B65" s="14">
        <v>0</v>
      </c>
      <c r="C65" s="14" t="s">
        <v>84</v>
      </c>
      <c r="D65" s="14">
        <v>1</v>
      </c>
      <c r="E65" s="14" t="s">
        <v>18</v>
      </c>
      <c r="F65" s="16" t="s">
        <v>25</v>
      </c>
      <c r="G65" s="6">
        <f t="shared" si="0"/>
        <v>7.6858848007007996</v>
      </c>
      <c r="H65" s="6">
        <f t="shared" si="1"/>
        <v>0.64049040005839997</v>
      </c>
      <c r="I65" s="14">
        <v>113</v>
      </c>
      <c r="J65" s="14">
        <v>1</v>
      </c>
      <c r="K65" s="14">
        <v>0</v>
      </c>
      <c r="L65" s="14">
        <v>0</v>
      </c>
      <c r="M65" s="15">
        <v>1</v>
      </c>
      <c r="N65" s="15">
        <v>0</v>
      </c>
      <c r="O65" s="14">
        <v>0</v>
      </c>
      <c r="P65" s="14">
        <v>7.6858848007007996</v>
      </c>
      <c r="Q65" s="14"/>
      <c r="R65" s="14"/>
    </row>
    <row r="66" spans="1:18" hidden="1" x14ac:dyDescent="0.3">
      <c r="A66" s="14">
        <v>65</v>
      </c>
      <c r="B66" s="14">
        <v>0</v>
      </c>
      <c r="C66" s="14" t="s">
        <v>85</v>
      </c>
      <c r="D66" s="14">
        <v>1</v>
      </c>
      <c r="E66" s="14" t="s">
        <v>18</v>
      </c>
      <c r="F66" s="16" t="s">
        <v>19</v>
      </c>
      <c r="G66" s="6">
        <f t="shared" ref="G66:G129" si="2">MAX(P66:R66)</f>
        <v>10.873850197109</v>
      </c>
      <c r="H66" s="6">
        <f t="shared" ref="H66:H129" si="3">G66/12</f>
        <v>0.90615418309241669</v>
      </c>
      <c r="I66" s="14">
        <v>114</v>
      </c>
      <c r="J66" s="14">
        <v>1</v>
      </c>
      <c r="K66" s="14">
        <v>0</v>
      </c>
      <c r="L66" s="14">
        <v>0</v>
      </c>
      <c r="M66" s="15">
        <v>0</v>
      </c>
      <c r="N66" s="15">
        <v>0</v>
      </c>
      <c r="O66" s="14">
        <v>0</v>
      </c>
      <c r="P66" s="14">
        <v>10.873850197109</v>
      </c>
      <c r="Q66" s="14"/>
      <c r="R66" s="14"/>
    </row>
    <row r="67" spans="1:18" hidden="1" x14ac:dyDescent="0.3">
      <c r="A67" s="14">
        <v>66</v>
      </c>
      <c r="B67" s="14">
        <v>0</v>
      </c>
      <c r="C67" s="14" t="s">
        <v>86</v>
      </c>
      <c r="D67" s="14">
        <v>1</v>
      </c>
      <c r="E67" s="14" t="s">
        <v>18</v>
      </c>
      <c r="F67" s="16" t="s">
        <v>19</v>
      </c>
      <c r="G67" s="6">
        <f t="shared" si="2"/>
        <v>8.7727222952256003</v>
      </c>
      <c r="H67" s="6">
        <f t="shared" si="3"/>
        <v>0.73106019126880006</v>
      </c>
      <c r="I67" s="14">
        <v>116</v>
      </c>
      <c r="J67" s="14">
        <v>1</v>
      </c>
      <c r="K67" s="14">
        <v>0</v>
      </c>
      <c r="L67" s="14">
        <v>0</v>
      </c>
      <c r="M67" s="15">
        <v>1</v>
      </c>
      <c r="N67" s="15">
        <v>0</v>
      </c>
      <c r="O67" s="14">
        <v>0</v>
      </c>
      <c r="P67" s="14">
        <v>8.7727222952256003</v>
      </c>
      <c r="Q67" s="14"/>
      <c r="R67" s="14"/>
    </row>
    <row r="68" spans="1:18" hidden="1" x14ac:dyDescent="0.3">
      <c r="A68" s="14">
        <v>67</v>
      </c>
      <c r="B68" s="14">
        <v>0</v>
      </c>
      <c r="C68" s="14" t="s">
        <v>87</v>
      </c>
      <c r="D68" s="14">
        <v>1</v>
      </c>
      <c r="E68" s="14" t="s">
        <v>18</v>
      </c>
      <c r="F68" s="16" t="s">
        <v>19</v>
      </c>
      <c r="G68" s="6">
        <f t="shared" si="2"/>
        <v>8.5413929040736001</v>
      </c>
      <c r="H68" s="6">
        <f t="shared" si="3"/>
        <v>0.71178274200613334</v>
      </c>
      <c r="I68" s="14">
        <v>118</v>
      </c>
      <c r="J68" s="14">
        <v>1</v>
      </c>
      <c r="K68" s="14">
        <v>0</v>
      </c>
      <c r="L68" s="14">
        <v>0</v>
      </c>
      <c r="M68" s="15">
        <v>1</v>
      </c>
      <c r="N68" s="15">
        <v>0</v>
      </c>
      <c r="O68" s="14">
        <v>0</v>
      </c>
      <c r="P68" s="14">
        <v>8.5413929040736001</v>
      </c>
      <c r="Q68" s="14"/>
      <c r="R68" s="14"/>
    </row>
    <row r="69" spans="1:18" hidden="1" x14ac:dyDescent="0.3">
      <c r="A69" s="14">
        <v>68</v>
      </c>
      <c r="B69" s="14">
        <v>0</v>
      </c>
      <c r="C69" s="14" t="s">
        <v>88</v>
      </c>
      <c r="D69" s="14">
        <v>1</v>
      </c>
      <c r="E69" s="14" t="s">
        <v>18</v>
      </c>
      <c r="F69" s="16" t="s">
        <v>19</v>
      </c>
      <c r="G69" s="6">
        <f t="shared" si="2"/>
        <v>11.695137976347</v>
      </c>
      <c r="H69" s="6">
        <f t="shared" si="3"/>
        <v>0.97459483136225</v>
      </c>
      <c r="I69" s="14">
        <v>119</v>
      </c>
      <c r="J69" s="14">
        <v>1</v>
      </c>
      <c r="K69" s="14">
        <v>0</v>
      </c>
      <c r="L69" s="14">
        <v>0</v>
      </c>
      <c r="M69" s="15">
        <v>1</v>
      </c>
      <c r="N69" s="15">
        <v>0</v>
      </c>
      <c r="O69" s="14">
        <v>0</v>
      </c>
      <c r="P69" s="14">
        <v>11.695137976347</v>
      </c>
      <c r="Q69" s="14"/>
      <c r="R69" s="14"/>
    </row>
    <row r="70" spans="1:18" hidden="1" x14ac:dyDescent="0.3">
      <c r="A70" s="14">
        <v>69</v>
      </c>
      <c r="B70" s="14">
        <v>0</v>
      </c>
      <c r="C70" s="14" t="s">
        <v>89</v>
      </c>
      <c r="D70" s="14">
        <v>0</v>
      </c>
      <c r="E70" s="14" t="s">
        <v>18</v>
      </c>
      <c r="F70" s="16" t="s">
        <v>25</v>
      </c>
      <c r="G70" s="6">
        <f t="shared" si="2"/>
        <v>14.586070959263999</v>
      </c>
      <c r="H70" s="6">
        <f t="shared" si="3"/>
        <v>1.2155059132719999</v>
      </c>
      <c r="I70" s="14">
        <v>120</v>
      </c>
      <c r="J70" s="14">
        <v>1</v>
      </c>
      <c r="K70" s="14">
        <v>0</v>
      </c>
      <c r="L70" s="14">
        <v>0</v>
      </c>
      <c r="M70" s="15">
        <v>1</v>
      </c>
      <c r="N70" s="15">
        <v>0</v>
      </c>
      <c r="O70" s="14">
        <v>0</v>
      </c>
      <c r="P70" s="14">
        <v>11.070959264126</v>
      </c>
      <c r="Q70" s="14">
        <v>14.586070959263999</v>
      </c>
      <c r="R70" s="14"/>
    </row>
    <row r="71" spans="1:18" hidden="1" x14ac:dyDescent="0.3">
      <c r="A71" s="14">
        <v>70</v>
      </c>
      <c r="B71" s="14">
        <v>0</v>
      </c>
      <c r="C71" s="14" t="s">
        <v>90</v>
      </c>
      <c r="D71" s="14">
        <v>0</v>
      </c>
      <c r="E71" s="14" t="s">
        <v>18</v>
      </c>
      <c r="F71" s="16" t="s">
        <v>19</v>
      </c>
      <c r="G71" s="6">
        <f t="shared" si="2"/>
        <v>9.5597897503285001</v>
      </c>
      <c r="H71" s="6">
        <f t="shared" si="3"/>
        <v>0.79664914586070834</v>
      </c>
      <c r="I71" s="14">
        <v>123</v>
      </c>
      <c r="J71" s="14">
        <v>1</v>
      </c>
      <c r="K71" s="14">
        <v>0</v>
      </c>
      <c r="L71" s="14">
        <v>0</v>
      </c>
      <c r="M71" s="15">
        <v>1</v>
      </c>
      <c r="N71" s="15">
        <v>0</v>
      </c>
      <c r="O71" s="14">
        <v>0</v>
      </c>
      <c r="P71" s="14">
        <v>9.5597897503285001</v>
      </c>
      <c r="Q71" s="14"/>
      <c r="R71" s="14"/>
    </row>
    <row r="72" spans="1:18" hidden="1" x14ac:dyDescent="0.3">
      <c r="A72" s="14">
        <v>71</v>
      </c>
      <c r="B72" s="14">
        <v>0</v>
      </c>
      <c r="C72" s="14" t="s">
        <v>91</v>
      </c>
      <c r="D72" s="14">
        <v>0</v>
      </c>
      <c r="E72" s="14" t="s">
        <v>18</v>
      </c>
      <c r="F72" s="16" t="s">
        <v>25</v>
      </c>
      <c r="G72" s="6">
        <f t="shared" si="2"/>
        <v>12.647831800263001</v>
      </c>
      <c r="H72" s="6">
        <f t="shared" si="3"/>
        <v>1.0539859833552501</v>
      </c>
      <c r="I72" s="14">
        <v>125</v>
      </c>
      <c r="J72" s="14">
        <v>1</v>
      </c>
      <c r="K72" s="14">
        <v>0</v>
      </c>
      <c r="L72" s="14">
        <v>0</v>
      </c>
      <c r="M72" s="15">
        <v>1</v>
      </c>
      <c r="N72" s="15">
        <v>0</v>
      </c>
      <c r="O72" s="14">
        <v>0</v>
      </c>
      <c r="P72" s="14">
        <v>9.1984231274639008</v>
      </c>
      <c r="Q72" s="14">
        <v>12.647831800263001</v>
      </c>
      <c r="R72" s="14"/>
    </row>
    <row r="73" spans="1:18" hidden="1" x14ac:dyDescent="0.3">
      <c r="A73" s="14">
        <v>72</v>
      </c>
      <c r="B73" s="14">
        <v>0</v>
      </c>
      <c r="C73" s="14" t="s">
        <v>92</v>
      </c>
      <c r="D73" s="14">
        <v>0</v>
      </c>
      <c r="E73" s="14" t="s">
        <v>18</v>
      </c>
      <c r="F73" s="16" t="s">
        <v>25</v>
      </c>
      <c r="G73" s="6">
        <f t="shared" si="2"/>
        <v>8.1800262812088995</v>
      </c>
      <c r="H73" s="6">
        <f t="shared" si="3"/>
        <v>0.68166885676740829</v>
      </c>
      <c r="I73" s="14">
        <v>127</v>
      </c>
      <c r="J73" s="14">
        <v>1</v>
      </c>
      <c r="K73" s="14">
        <v>0</v>
      </c>
      <c r="L73" s="14">
        <v>0</v>
      </c>
      <c r="M73" s="15">
        <v>1</v>
      </c>
      <c r="N73" s="15">
        <v>0</v>
      </c>
      <c r="O73" s="14">
        <v>0</v>
      </c>
      <c r="P73" s="14">
        <v>8.1800262812088995</v>
      </c>
      <c r="Q73" s="14"/>
      <c r="R73" s="14"/>
    </row>
    <row r="74" spans="1:18" hidden="1" x14ac:dyDescent="0.3">
      <c r="A74" s="14">
        <v>73</v>
      </c>
      <c r="B74" s="14">
        <v>0</v>
      </c>
      <c r="C74" s="14" t="s">
        <v>93</v>
      </c>
      <c r="D74" s="14">
        <v>0</v>
      </c>
      <c r="E74" s="14" t="s">
        <v>18</v>
      </c>
      <c r="F74" s="16" t="s">
        <v>19</v>
      </c>
      <c r="G74" s="6">
        <f t="shared" si="2"/>
        <v>8.1800262812088995</v>
      </c>
      <c r="H74" s="6">
        <f t="shared" si="3"/>
        <v>0.68166885676740829</v>
      </c>
      <c r="I74" s="14">
        <v>128</v>
      </c>
      <c r="J74" s="14">
        <v>1</v>
      </c>
      <c r="K74" s="14">
        <v>0</v>
      </c>
      <c r="L74" s="14">
        <v>0</v>
      </c>
      <c r="M74" s="15">
        <v>1</v>
      </c>
      <c r="N74" s="15">
        <v>0</v>
      </c>
      <c r="O74" s="14">
        <v>0</v>
      </c>
      <c r="P74" s="14">
        <v>8.1800262812088995</v>
      </c>
      <c r="Q74" s="14"/>
      <c r="R74" s="14"/>
    </row>
    <row r="75" spans="1:18" hidden="1" x14ac:dyDescent="0.3">
      <c r="A75" s="14">
        <v>74</v>
      </c>
      <c r="B75" s="14">
        <v>0</v>
      </c>
      <c r="C75" s="14" t="s">
        <v>94</v>
      </c>
      <c r="D75" s="14">
        <v>0</v>
      </c>
      <c r="E75" s="14" t="s">
        <v>18</v>
      </c>
      <c r="F75" s="16" t="s">
        <v>19</v>
      </c>
      <c r="G75" s="6">
        <f t="shared" si="2"/>
        <v>6.5045992115636997</v>
      </c>
      <c r="H75" s="6">
        <f t="shared" si="3"/>
        <v>0.54204993429697501</v>
      </c>
      <c r="I75" s="14">
        <v>133</v>
      </c>
      <c r="J75" s="14">
        <v>1</v>
      </c>
      <c r="K75" s="14">
        <v>0</v>
      </c>
      <c r="L75" s="14">
        <v>0</v>
      </c>
      <c r="M75" s="15">
        <v>1</v>
      </c>
      <c r="N75" s="15">
        <v>0</v>
      </c>
      <c r="O75" s="14">
        <v>0</v>
      </c>
      <c r="P75" s="14">
        <v>6.5045992115636997</v>
      </c>
      <c r="Q75" s="14"/>
      <c r="R75" s="14"/>
    </row>
    <row r="76" spans="1:18" hidden="1" x14ac:dyDescent="0.3">
      <c r="A76" s="14">
        <v>75</v>
      </c>
      <c r="B76" s="14">
        <v>0</v>
      </c>
      <c r="C76" s="14" t="s">
        <v>95</v>
      </c>
      <c r="D76" s="14">
        <v>0</v>
      </c>
      <c r="E76" s="14" t="s">
        <v>18</v>
      </c>
      <c r="F76" s="16" t="s">
        <v>19</v>
      </c>
      <c r="G76" s="6">
        <f t="shared" si="2"/>
        <v>4.6320630749014002</v>
      </c>
      <c r="H76" s="6">
        <f t="shared" si="3"/>
        <v>0.38600525624178333</v>
      </c>
      <c r="I76" s="14">
        <v>146</v>
      </c>
      <c r="J76" s="14">
        <v>1</v>
      </c>
      <c r="K76" s="14">
        <v>0</v>
      </c>
      <c r="L76" s="14">
        <v>0</v>
      </c>
      <c r="M76" s="15">
        <v>1</v>
      </c>
      <c r="N76" s="15">
        <v>0</v>
      </c>
      <c r="O76" s="14">
        <v>0</v>
      </c>
      <c r="P76" s="14">
        <v>4.6320630749014002</v>
      </c>
      <c r="Q76" s="14"/>
      <c r="R76" s="14"/>
    </row>
    <row r="77" spans="1:18" hidden="1" x14ac:dyDescent="0.3">
      <c r="A77" s="14">
        <v>76</v>
      </c>
      <c r="B77" s="14">
        <v>0</v>
      </c>
      <c r="C77" s="14" t="s">
        <v>96</v>
      </c>
      <c r="D77" s="14">
        <v>0</v>
      </c>
      <c r="E77" s="14" t="s">
        <v>18</v>
      </c>
      <c r="F77" s="16" t="s">
        <v>19</v>
      </c>
      <c r="G77" s="6">
        <f t="shared" si="2"/>
        <v>6.8331143232588998</v>
      </c>
      <c r="H77" s="6">
        <f t="shared" si="3"/>
        <v>0.56942619360490832</v>
      </c>
      <c r="I77" s="14">
        <v>147</v>
      </c>
      <c r="J77" s="14">
        <v>1</v>
      </c>
      <c r="K77" s="14">
        <v>0</v>
      </c>
      <c r="L77" s="14">
        <v>0</v>
      </c>
      <c r="M77" s="15">
        <v>1</v>
      </c>
      <c r="N77" s="15">
        <v>0</v>
      </c>
      <c r="O77" s="14">
        <v>0</v>
      </c>
      <c r="P77" s="14">
        <v>6.8331143232588998</v>
      </c>
      <c r="Q77" s="14"/>
      <c r="R77" s="14"/>
    </row>
    <row r="78" spans="1:18" hidden="1" x14ac:dyDescent="0.3">
      <c r="A78" s="14">
        <v>77</v>
      </c>
      <c r="B78" s="14">
        <v>0</v>
      </c>
      <c r="C78" s="14" t="s">
        <v>97</v>
      </c>
      <c r="D78" s="14">
        <v>0</v>
      </c>
      <c r="E78" s="14" t="s">
        <v>18</v>
      </c>
      <c r="F78" s="16" t="s">
        <v>25</v>
      </c>
      <c r="G78" s="6">
        <f t="shared" si="2"/>
        <v>10.545335085414001</v>
      </c>
      <c r="H78" s="6">
        <f t="shared" si="3"/>
        <v>0.87877792378450004</v>
      </c>
      <c r="I78" s="14">
        <v>155</v>
      </c>
      <c r="J78" s="14">
        <v>1</v>
      </c>
      <c r="K78" s="14">
        <v>0</v>
      </c>
      <c r="L78" s="14">
        <v>0</v>
      </c>
      <c r="M78" s="15">
        <v>1</v>
      </c>
      <c r="N78" s="15">
        <v>0</v>
      </c>
      <c r="O78" s="14">
        <v>0</v>
      </c>
      <c r="P78" s="14">
        <v>10.545335085414001</v>
      </c>
      <c r="Q78" s="14"/>
      <c r="R78" s="14"/>
    </row>
    <row r="79" spans="1:18" hidden="1" x14ac:dyDescent="0.3">
      <c r="A79" s="14">
        <v>78</v>
      </c>
      <c r="B79" s="14">
        <v>0</v>
      </c>
      <c r="C79" s="14" t="s">
        <v>98</v>
      </c>
      <c r="D79" s="14">
        <v>0</v>
      </c>
      <c r="E79" s="14" t="s">
        <v>18</v>
      </c>
      <c r="F79" s="16" t="s">
        <v>25</v>
      </c>
      <c r="G79" s="6">
        <f t="shared" si="2"/>
        <v>7.8843626806833003</v>
      </c>
      <c r="H79" s="6">
        <f t="shared" si="3"/>
        <v>0.65703022339027506</v>
      </c>
      <c r="I79" s="14">
        <v>157</v>
      </c>
      <c r="J79" s="14">
        <v>1</v>
      </c>
      <c r="K79" s="14">
        <v>0</v>
      </c>
      <c r="L79" s="14">
        <v>0</v>
      </c>
      <c r="M79" s="15">
        <v>1</v>
      </c>
      <c r="N79" s="15">
        <v>0</v>
      </c>
      <c r="O79" s="14">
        <v>0</v>
      </c>
      <c r="P79" s="14">
        <v>7.8843626806833003</v>
      </c>
      <c r="Q79" s="14"/>
      <c r="R79" s="14"/>
    </row>
    <row r="80" spans="1:18" hidden="1" x14ac:dyDescent="0.3">
      <c r="A80" s="14">
        <v>79</v>
      </c>
      <c r="B80" s="14">
        <v>0</v>
      </c>
      <c r="C80" s="14" t="s">
        <v>99</v>
      </c>
      <c r="D80" s="14">
        <v>0</v>
      </c>
      <c r="E80" s="14" t="s">
        <v>18</v>
      </c>
      <c r="F80" s="16" t="s">
        <v>19</v>
      </c>
      <c r="G80" s="6">
        <f t="shared" si="2"/>
        <v>17.411300919841999</v>
      </c>
      <c r="H80" s="6">
        <f t="shared" si="3"/>
        <v>1.4509417433201666</v>
      </c>
      <c r="I80" s="14">
        <v>158</v>
      </c>
      <c r="J80" s="14">
        <v>1</v>
      </c>
      <c r="K80" s="14">
        <v>0</v>
      </c>
      <c r="L80" s="14">
        <v>0</v>
      </c>
      <c r="M80" s="15">
        <v>1</v>
      </c>
      <c r="N80" s="15">
        <v>0</v>
      </c>
      <c r="O80" s="14">
        <v>0</v>
      </c>
      <c r="P80" s="14">
        <v>17.411300919841999</v>
      </c>
      <c r="Q80" s="14"/>
      <c r="R80" s="14"/>
    </row>
    <row r="81" spans="1:18" hidden="1" x14ac:dyDescent="0.3">
      <c r="A81" s="14">
        <v>80</v>
      </c>
      <c r="B81" s="14">
        <v>0</v>
      </c>
      <c r="C81" s="14" t="s">
        <v>100</v>
      </c>
      <c r="D81" s="14">
        <v>0</v>
      </c>
      <c r="E81" s="14" t="s">
        <v>18</v>
      </c>
      <c r="F81" s="16" t="s">
        <v>25</v>
      </c>
      <c r="G81" s="6">
        <f t="shared" si="2"/>
        <v>12.385019710907001</v>
      </c>
      <c r="H81" s="6">
        <f t="shared" si="3"/>
        <v>1.0320849759089168</v>
      </c>
      <c r="I81" s="14">
        <v>159</v>
      </c>
      <c r="J81" s="14">
        <v>1</v>
      </c>
      <c r="K81" s="14">
        <v>0</v>
      </c>
      <c r="L81" s="14">
        <v>0</v>
      </c>
      <c r="M81" s="15">
        <v>1</v>
      </c>
      <c r="N81" s="15">
        <v>0</v>
      </c>
      <c r="O81" s="14">
        <v>0</v>
      </c>
      <c r="P81" s="14">
        <v>12.385019710907001</v>
      </c>
      <c r="Q81" s="14"/>
      <c r="R81" s="14"/>
    </row>
    <row r="82" spans="1:18" hidden="1" x14ac:dyDescent="0.3">
      <c r="A82" s="14">
        <v>81</v>
      </c>
      <c r="B82" s="14">
        <v>0</v>
      </c>
      <c r="C82" s="14" t="s">
        <v>101</v>
      </c>
      <c r="D82" s="14">
        <v>0</v>
      </c>
      <c r="E82" s="14" t="s">
        <v>18</v>
      </c>
      <c r="F82" s="16" t="s">
        <v>25</v>
      </c>
      <c r="G82" s="6">
        <f t="shared" si="2"/>
        <v>8.5413929040736001</v>
      </c>
      <c r="H82" s="6">
        <f t="shared" si="3"/>
        <v>0.71178274200613334</v>
      </c>
      <c r="I82" s="14">
        <v>166</v>
      </c>
      <c r="J82" s="14">
        <v>1</v>
      </c>
      <c r="K82" s="14">
        <v>0</v>
      </c>
      <c r="L82" s="14">
        <v>0</v>
      </c>
      <c r="M82" s="15">
        <v>1</v>
      </c>
      <c r="N82" s="15">
        <v>0</v>
      </c>
      <c r="O82" s="14">
        <v>0</v>
      </c>
      <c r="P82" s="14">
        <v>8.5413929040736001</v>
      </c>
      <c r="Q82" s="14"/>
      <c r="R82" s="14"/>
    </row>
    <row r="83" spans="1:18" hidden="1" x14ac:dyDescent="0.3">
      <c r="A83" s="14">
        <v>82</v>
      </c>
      <c r="B83" s="14">
        <v>0</v>
      </c>
      <c r="C83" s="14" t="s">
        <v>102</v>
      </c>
      <c r="D83" s="14">
        <v>0</v>
      </c>
      <c r="E83" s="14" t="s">
        <v>18</v>
      </c>
      <c r="F83" s="16" t="s">
        <v>25</v>
      </c>
      <c r="G83" s="6">
        <f t="shared" si="2"/>
        <v>7.3258869908016004</v>
      </c>
      <c r="H83" s="6">
        <f t="shared" si="3"/>
        <v>0.6104905825668</v>
      </c>
      <c r="I83" s="14">
        <v>168</v>
      </c>
      <c r="J83" s="14">
        <v>1</v>
      </c>
      <c r="K83" s="14">
        <v>0</v>
      </c>
      <c r="L83" s="14">
        <v>0</v>
      </c>
      <c r="M83" s="15">
        <v>1</v>
      </c>
      <c r="N83" s="15">
        <v>0</v>
      </c>
      <c r="O83" s="14">
        <v>0</v>
      </c>
      <c r="P83" s="14">
        <v>7.3258869908016004</v>
      </c>
      <c r="Q83" s="14"/>
      <c r="R83" s="14"/>
    </row>
    <row r="84" spans="1:18" hidden="1" x14ac:dyDescent="0.3">
      <c r="A84" s="14">
        <v>83</v>
      </c>
      <c r="B84" s="14">
        <v>0</v>
      </c>
      <c r="C84" s="14" t="s">
        <v>103</v>
      </c>
      <c r="D84" s="14">
        <v>0</v>
      </c>
      <c r="E84" s="14" t="s">
        <v>18</v>
      </c>
      <c r="F84" s="16" t="s">
        <v>25</v>
      </c>
      <c r="G84" s="6">
        <f t="shared" si="2"/>
        <v>7.9500657030223003</v>
      </c>
      <c r="H84" s="6">
        <f t="shared" si="3"/>
        <v>0.66250547525185832</v>
      </c>
      <c r="I84" s="14">
        <v>169</v>
      </c>
      <c r="J84" s="14">
        <v>1</v>
      </c>
      <c r="K84" s="14">
        <v>0</v>
      </c>
      <c r="L84" s="14">
        <v>0</v>
      </c>
      <c r="M84" s="15">
        <v>1</v>
      </c>
      <c r="N84" s="15">
        <v>0</v>
      </c>
      <c r="O84" s="14">
        <v>0</v>
      </c>
      <c r="P84" s="14">
        <v>7.9500657030223003</v>
      </c>
      <c r="Q84" s="14"/>
      <c r="R84" s="14"/>
    </row>
    <row r="85" spans="1:18" hidden="1" x14ac:dyDescent="0.3">
      <c r="A85" s="14">
        <v>84</v>
      </c>
      <c r="B85" s="14">
        <v>0</v>
      </c>
      <c r="C85" s="14" t="s">
        <v>104</v>
      </c>
      <c r="D85" s="14">
        <v>0</v>
      </c>
      <c r="E85" s="14" t="s">
        <v>18</v>
      </c>
      <c r="F85" s="16" t="s">
        <v>19</v>
      </c>
      <c r="G85" s="6">
        <f t="shared" si="2"/>
        <v>9.9868593955321998</v>
      </c>
      <c r="H85" s="6">
        <f t="shared" si="3"/>
        <v>0.83223828296101665</v>
      </c>
      <c r="I85" s="14">
        <v>170</v>
      </c>
      <c r="J85" s="14">
        <v>1</v>
      </c>
      <c r="K85" s="14">
        <v>0</v>
      </c>
      <c r="L85" s="14">
        <v>0</v>
      </c>
      <c r="M85" s="15">
        <v>1</v>
      </c>
      <c r="N85" s="15">
        <v>0</v>
      </c>
      <c r="O85" s="14">
        <v>0</v>
      </c>
      <c r="P85" s="14">
        <v>9.9868593955321998</v>
      </c>
      <c r="Q85" s="14"/>
      <c r="R85" s="14"/>
    </row>
    <row r="86" spans="1:18" hidden="1" x14ac:dyDescent="0.3">
      <c r="A86" s="14">
        <v>85</v>
      </c>
      <c r="B86" s="14">
        <v>0</v>
      </c>
      <c r="C86" s="14" t="s">
        <v>105</v>
      </c>
      <c r="D86" s="14">
        <v>0</v>
      </c>
      <c r="E86" s="14" t="s">
        <v>18</v>
      </c>
      <c r="F86" s="16" t="s">
        <v>25</v>
      </c>
      <c r="G86" s="6">
        <f t="shared" si="2"/>
        <v>9.8883048620237002</v>
      </c>
      <c r="H86" s="6">
        <f t="shared" si="3"/>
        <v>0.82402540516864164</v>
      </c>
      <c r="I86" s="14">
        <v>171</v>
      </c>
      <c r="J86" s="14">
        <v>1</v>
      </c>
      <c r="K86" s="14">
        <v>0</v>
      </c>
      <c r="L86" s="14">
        <v>0</v>
      </c>
      <c r="M86" s="15">
        <v>1</v>
      </c>
      <c r="N86" s="15">
        <v>0</v>
      </c>
      <c r="O86" s="14">
        <v>0</v>
      </c>
      <c r="P86" s="14">
        <v>9.8883048620237002</v>
      </c>
      <c r="Q86" s="14"/>
      <c r="R86" s="14"/>
    </row>
    <row r="87" spans="1:18" hidden="1" x14ac:dyDescent="0.3">
      <c r="A87" s="14">
        <v>86</v>
      </c>
      <c r="B87" s="14">
        <v>0</v>
      </c>
      <c r="C87" s="14" t="s">
        <v>106</v>
      </c>
      <c r="D87" s="14">
        <v>0</v>
      </c>
      <c r="E87" s="14" t="s">
        <v>18</v>
      </c>
      <c r="F87" s="16" t="s">
        <v>19</v>
      </c>
      <c r="G87" s="6">
        <f t="shared" si="2"/>
        <v>5.2233902759527</v>
      </c>
      <c r="H87" s="6">
        <f t="shared" si="3"/>
        <v>0.43528252299605835</v>
      </c>
      <c r="I87" s="14">
        <v>175</v>
      </c>
      <c r="J87" s="14">
        <v>1</v>
      </c>
      <c r="K87" s="14">
        <v>0</v>
      </c>
      <c r="L87" s="14">
        <v>0</v>
      </c>
      <c r="M87" s="15">
        <v>1</v>
      </c>
      <c r="N87" s="15">
        <v>0</v>
      </c>
      <c r="O87" s="14">
        <v>0</v>
      </c>
      <c r="P87" s="14">
        <v>5.2233902759527</v>
      </c>
      <c r="Q87" s="14"/>
      <c r="R87" s="14"/>
    </row>
    <row r="88" spans="1:18" hidden="1" x14ac:dyDescent="0.3">
      <c r="A88" s="14">
        <v>87</v>
      </c>
      <c r="B88" s="14">
        <v>0</v>
      </c>
      <c r="C88" s="14" t="s">
        <v>107</v>
      </c>
      <c r="D88" s="14">
        <v>0</v>
      </c>
      <c r="E88" s="14" t="s">
        <v>18</v>
      </c>
      <c r="F88" s="16" t="s">
        <v>25</v>
      </c>
      <c r="G88" s="6">
        <f t="shared" si="2"/>
        <v>8.5742444152431005</v>
      </c>
      <c r="H88" s="6">
        <f t="shared" si="3"/>
        <v>0.71452036793692508</v>
      </c>
      <c r="I88" s="14">
        <v>183</v>
      </c>
      <c r="J88" s="14">
        <v>1</v>
      </c>
      <c r="K88" s="14">
        <v>0</v>
      </c>
      <c r="L88" s="14">
        <v>0</v>
      </c>
      <c r="M88" s="15">
        <v>1</v>
      </c>
      <c r="N88" s="15">
        <v>0</v>
      </c>
      <c r="O88" s="14">
        <v>0</v>
      </c>
      <c r="P88" s="14">
        <v>8.5742444152431005</v>
      </c>
      <c r="Q88" s="14"/>
      <c r="R88" s="14"/>
    </row>
    <row r="89" spans="1:18" hidden="1" x14ac:dyDescent="0.3">
      <c r="A89" s="3">
        <v>88</v>
      </c>
      <c r="B89" s="3">
        <v>0</v>
      </c>
      <c r="C89" s="3" t="s">
        <v>108</v>
      </c>
      <c r="D89" s="3">
        <v>1</v>
      </c>
      <c r="E89" s="3" t="s">
        <v>18</v>
      </c>
      <c r="F89" s="4" t="s">
        <v>25</v>
      </c>
      <c r="G89" s="5">
        <f t="shared" si="2"/>
        <v>6.7030770915462004</v>
      </c>
      <c r="H89" s="6">
        <f t="shared" si="3"/>
        <v>0.55858975762884999</v>
      </c>
      <c r="I89" s="3">
        <v>2</v>
      </c>
      <c r="J89" s="3">
        <v>1</v>
      </c>
      <c r="K89" s="3">
        <v>1</v>
      </c>
      <c r="L89" s="3">
        <v>0</v>
      </c>
      <c r="M89" s="3">
        <v>0</v>
      </c>
      <c r="N89" s="3">
        <v>0</v>
      </c>
      <c r="O89" s="3">
        <v>1</v>
      </c>
      <c r="P89" s="3">
        <v>6.7030770915462004</v>
      </c>
      <c r="Q89" s="3"/>
      <c r="R89" s="3"/>
    </row>
    <row r="90" spans="1:18" hidden="1" x14ac:dyDescent="0.3">
      <c r="A90" s="3">
        <v>88</v>
      </c>
      <c r="B90" s="3">
        <v>0</v>
      </c>
      <c r="C90" s="3" t="s">
        <v>108</v>
      </c>
      <c r="D90" s="3">
        <v>1</v>
      </c>
      <c r="E90" s="3" t="s">
        <v>83</v>
      </c>
      <c r="F90" s="4" t="s">
        <v>25</v>
      </c>
      <c r="G90" s="5">
        <f t="shared" si="2"/>
        <v>20.073642137537998</v>
      </c>
      <c r="H90" s="6">
        <f t="shared" si="3"/>
        <v>1.6728035114614999</v>
      </c>
      <c r="I90" s="3">
        <v>184</v>
      </c>
      <c r="J90" s="3">
        <v>2</v>
      </c>
      <c r="K90" s="3">
        <v>1</v>
      </c>
      <c r="L90" s="3">
        <v>1</v>
      </c>
      <c r="M90" s="3">
        <v>0</v>
      </c>
      <c r="N90" s="3">
        <v>0</v>
      </c>
      <c r="O90" s="3">
        <v>1</v>
      </c>
      <c r="P90" s="3">
        <v>18.233957512046</v>
      </c>
      <c r="Q90" s="3">
        <v>20.073642137537998</v>
      </c>
      <c r="R90" s="3"/>
    </row>
    <row r="91" spans="1:18" hidden="1" x14ac:dyDescent="0.3">
      <c r="A91" s="7">
        <v>89</v>
      </c>
      <c r="B91" s="7">
        <v>0</v>
      </c>
      <c r="C91" s="7" t="s">
        <v>109</v>
      </c>
      <c r="D91" s="7">
        <v>1</v>
      </c>
      <c r="E91" s="7" t="s">
        <v>18</v>
      </c>
      <c r="F91" s="8" t="s">
        <v>19</v>
      </c>
      <c r="G91" s="9">
        <f t="shared" si="2"/>
        <v>7.8515111695137998</v>
      </c>
      <c r="H91" s="6">
        <f t="shared" si="3"/>
        <v>0.65429259745948332</v>
      </c>
      <c r="I91" s="7">
        <v>3</v>
      </c>
      <c r="J91" s="7">
        <v>1</v>
      </c>
      <c r="K91" s="7">
        <v>1</v>
      </c>
      <c r="L91" s="7">
        <v>0</v>
      </c>
      <c r="M91" s="7">
        <v>0</v>
      </c>
      <c r="N91" s="7">
        <v>0</v>
      </c>
      <c r="O91" s="7">
        <v>2</v>
      </c>
      <c r="P91" s="7">
        <v>7.8515111695137998</v>
      </c>
      <c r="Q91" s="7"/>
      <c r="R91" s="7"/>
    </row>
    <row r="92" spans="1:18" hidden="1" x14ac:dyDescent="0.3">
      <c r="A92" s="7">
        <v>89</v>
      </c>
      <c r="B92" s="7">
        <v>0</v>
      </c>
      <c r="C92" s="7" t="s">
        <v>109</v>
      </c>
      <c r="D92" s="7">
        <v>1</v>
      </c>
      <c r="E92" s="7" t="s">
        <v>83</v>
      </c>
      <c r="F92" s="8" t="s">
        <v>19</v>
      </c>
      <c r="G92" s="9">
        <f t="shared" si="2"/>
        <v>22.667542706965001</v>
      </c>
      <c r="H92" s="6">
        <f t="shared" si="3"/>
        <v>1.8889618922470834</v>
      </c>
      <c r="I92" s="7">
        <v>185</v>
      </c>
      <c r="J92" s="7">
        <v>2</v>
      </c>
      <c r="K92" s="7">
        <v>1</v>
      </c>
      <c r="L92" s="7">
        <v>1</v>
      </c>
      <c r="M92" s="7">
        <v>1</v>
      </c>
      <c r="N92" s="7">
        <v>0</v>
      </c>
      <c r="O92" s="7">
        <v>2</v>
      </c>
      <c r="P92" s="7">
        <v>22.667542706965001</v>
      </c>
      <c r="Q92" s="7"/>
      <c r="R92" s="7"/>
    </row>
    <row r="93" spans="1:18" hidden="1" x14ac:dyDescent="0.3">
      <c r="A93" s="10">
        <v>90</v>
      </c>
      <c r="B93" s="10">
        <v>0</v>
      </c>
      <c r="C93" s="10" t="s">
        <v>110</v>
      </c>
      <c r="D93" s="10">
        <v>1</v>
      </c>
      <c r="E93" s="10" t="s">
        <v>18</v>
      </c>
      <c r="F93" s="11" t="s">
        <v>19</v>
      </c>
      <c r="G93" s="12">
        <f t="shared" si="2"/>
        <v>12.056504599211999</v>
      </c>
      <c r="H93" s="6">
        <f t="shared" si="3"/>
        <v>1.004708716601</v>
      </c>
      <c r="I93" s="10">
        <v>5</v>
      </c>
      <c r="J93" s="10">
        <v>1</v>
      </c>
      <c r="K93" s="10">
        <v>1</v>
      </c>
      <c r="L93" s="10">
        <v>0</v>
      </c>
      <c r="M93" s="10">
        <v>0</v>
      </c>
      <c r="N93" s="10">
        <v>0</v>
      </c>
      <c r="O93" s="10">
        <v>3</v>
      </c>
      <c r="P93" s="10">
        <v>12.056504599211999</v>
      </c>
      <c r="Q93" s="10"/>
      <c r="R93" s="10"/>
    </row>
    <row r="94" spans="1:18" hidden="1" x14ac:dyDescent="0.3">
      <c r="A94" s="10">
        <v>90</v>
      </c>
      <c r="B94" s="10">
        <v>0</v>
      </c>
      <c r="C94" s="10" t="s">
        <v>110</v>
      </c>
      <c r="D94" s="10">
        <v>1</v>
      </c>
      <c r="E94" s="10" t="s">
        <v>83</v>
      </c>
      <c r="F94" s="11" t="s">
        <v>19</v>
      </c>
      <c r="G94" s="12">
        <f t="shared" si="2"/>
        <v>20.696452036794</v>
      </c>
      <c r="H94" s="6">
        <f t="shared" si="3"/>
        <v>1.7247043363995</v>
      </c>
      <c r="I94" s="10">
        <v>186</v>
      </c>
      <c r="J94" s="10">
        <v>2</v>
      </c>
      <c r="K94" s="10">
        <v>1</v>
      </c>
      <c r="L94" s="10">
        <v>1</v>
      </c>
      <c r="M94" s="10">
        <v>0</v>
      </c>
      <c r="N94" s="10">
        <v>0</v>
      </c>
      <c r="O94" s="10">
        <v>3</v>
      </c>
      <c r="P94" s="10">
        <v>20.696452036794</v>
      </c>
      <c r="Q94" s="10"/>
      <c r="R94" s="10"/>
    </row>
    <row r="95" spans="1:18" hidden="1" x14ac:dyDescent="0.3">
      <c r="A95" s="3">
        <v>91</v>
      </c>
      <c r="B95" s="3">
        <v>0</v>
      </c>
      <c r="C95" s="3" t="s">
        <v>111</v>
      </c>
      <c r="D95" s="3">
        <v>1</v>
      </c>
      <c r="E95" s="3" t="s">
        <v>18</v>
      </c>
      <c r="F95" s="4" t="s">
        <v>25</v>
      </c>
      <c r="G95" s="5">
        <f t="shared" si="2"/>
        <v>8.0157687253614007</v>
      </c>
      <c r="H95" s="6">
        <f t="shared" si="3"/>
        <v>0.66798072711345002</v>
      </c>
      <c r="I95" s="3">
        <v>7</v>
      </c>
      <c r="J95" s="3">
        <v>1</v>
      </c>
      <c r="K95" s="3">
        <v>1</v>
      </c>
      <c r="L95" s="3">
        <v>0</v>
      </c>
      <c r="M95" s="3">
        <v>0</v>
      </c>
      <c r="N95" s="3">
        <v>0</v>
      </c>
      <c r="O95" s="3">
        <v>1</v>
      </c>
      <c r="P95" s="3">
        <v>8.0157687253614007</v>
      </c>
      <c r="Q95" s="3"/>
      <c r="R95" s="3"/>
    </row>
    <row r="96" spans="1:18" hidden="1" x14ac:dyDescent="0.3">
      <c r="A96" s="3">
        <v>91</v>
      </c>
      <c r="B96" s="3">
        <v>0</v>
      </c>
      <c r="C96" s="3" t="s">
        <v>111</v>
      </c>
      <c r="D96" s="3">
        <v>1</v>
      </c>
      <c r="E96" s="3" t="s">
        <v>83</v>
      </c>
      <c r="F96" s="4" t="s">
        <v>25</v>
      </c>
      <c r="G96" s="5">
        <f t="shared" si="2"/>
        <v>18.199737187911001</v>
      </c>
      <c r="H96" s="6">
        <f t="shared" si="3"/>
        <v>1.5166447656592501</v>
      </c>
      <c r="I96" s="3">
        <v>187</v>
      </c>
      <c r="J96" s="3">
        <v>2</v>
      </c>
      <c r="K96" s="3">
        <v>1</v>
      </c>
      <c r="L96" s="3">
        <v>1</v>
      </c>
      <c r="M96" s="3">
        <v>1</v>
      </c>
      <c r="N96" s="3">
        <v>0</v>
      </c>
      <c r="O96" s="3">
        <v>1</v>
      </c>
      <c r="P96" s="3">
        <v>18.199737187911001</v>
      </c>
      <c r="Q96" s="3"/>
      <c r="R96" s="3"/>
    </row>
    <row r="97" spans="1:18" hidden="1" x14ac:dyDescent="0.3">
      <c r="A97" s="7">
        <v>92</v>
      </c>
      <c r="B97" s="7">
        <v>0</v>
      </c>
      <c r="C97" s="7" t="s">
        <v>112</v>
      </c>
      <c r="D97" s="7">
        <v>1</v>
      </c>
      <c r="E97" s="7" t="s">
        <v>18</v>
      </c>
      <c r="F97" s="8" t="s">
        <v>19</v>
      </c>
      <c r="G97" s="9">
        <f t="shared" si="2"/>
        <v>2.4967148488830002</v>
      </c>
      <c r="H97" s="6">
        <f t="shared" si="3"/>
        <v>0.20805957074025003</v>
      </c>
      <c r="I97" s="7">
        <v>9</v>
      </c>
      <c r="J97" s="7">
        <v>1</v>
      </c>
      <c r="K97" s="7">
        <v>1</v>
      </c>
      <c r="L97" s="7">
        <v>0</v>
      </c>
      <c r="M97" s="7">
        <v>0</v>
      </c>
      <c r="N97" s="7">
        <v>0</v>
      </c>
      <c r="O97" s="7">
        <v>2</v>
      </c>
      <c r="P97" s="7">
        <v>2.4967148488830002</v>
      </c>
      <c r="Q97" s="7"/>
      <c r="R97" s="7"/>
    </row>
    <row r="98" spans="1:18" hidden="1" x14ac:dyDescent="0.3">
      <c r="A98" s="7">
        <v>92</v>
      </c>
      <c r="B98" s="7">
        <v>0</v>
      </c>
      <c r="C98" s="7" t="s">
        <v>112</v>
      </c>
      <c r="D98" s="7">
        <v>1</v>
      </c>
      <c r="E98" s="7" t="s">
        <v>83</v>
      </c>
      <c r="F98" s="8" t="s">
        <v>19</v>
      </c>
      <c r="G98" s="9">
        <f t="shared" si="2"/>
        <v>16.985600087603999</v>
      </c>
      <c r="H98" s="6">
        <f t="shared" si="3"/>
        <v>1.4154666739669999</v>
      </c>
      <c r="I98" s="7">
        <v>188</v>
      </c>
      <c r="J98" s="7">
        <v>2</v>
      </c>
      <c r="K98" s="7">
        <v>1</v>
      </c>
      <c r="L98" s="7">
        <v>1</v>
      </c>
      <c r="M98" s="7">
        <v>1</v>
      </c>
      <c r="N98" s="7">
        <v>0</v>
      </c>
      <c r="O98" s="7">
        <v>2</v>
      </c>
      <c r="P98" s="7">
        <v>16.985600087603999</v>
      </c>
      <c r="Q98" s="7"/>
      <c r="R98" s="7"/>
    </row>
    <row r="99" spans="1:18" hidden="1" x14ac:dyDescent="0.3">
      <c r="A99" s="10">
        <v>93</v>
      </c>
      <c r="B99" s="10">
        <v>0</v>
      </c>
      <c r="C99" s="10" t="s">
        <v>113</v>
      </c>
      <c r="D99" s="10">
        <v>1</v>
      </c>
      <c r="E99" s="10" t="s">
        <v>18</v>
      </c>
      <c r="F99" s="11" t="s">
        <v>19</v>
      </c>
      <c r="G99" s="12">
        <f t="shared" si="2"/>
        <v>4.3706197985106998</v>
      </c>
      <c r="H99" s="6">
        <f t="shared" si="3"/>
        <v>0.36421831654255832</v>
      </c>
      <c r="I99" s="10">
        <v>10</v>
      </c>
      <c r="J99" s="10">
        <v>1</v>
      </c>
      <c r="K99" s="10">
        <v>1</v>
      </c>
      <c r="L99" s="10">
        <v>0</v>
      </c>
      <c r="M99" s="10">
        <v>0</v>
      </c>
      <c r="N99" s="10">
        <v>0</v>
      </c>
      <c r="O99" s="10">
        <v>3</v>
      </c>
      <c r="P99" s="10">
        <v>4.3706197985106998</v>
      </c>
      <c r="Q99" s="10"/>
      <c r="R99" s="10"/>
    </row>
    <row r="100" spans="1:18" hidden="1" x14ac:dyDescent="0.3">
      <c r="A100" s="10">
        <v>93</v>
      </c>
      <c r="B100" s="10">
        <v>0</v>
      </c>
      <c r="C100" s="10" t="s">
        <v>113</v>
      </c>
      <c r="D100" s="10">
        <v>1</v>
      </c>
      <c r="E100" s="10" t="s">
        <v>83</v>
      </c>
      <c r="F100" s="11" t="s">
        <v>19</v>
      </c>
      <c r="G100" s="12">
        <f t="shared" si="2"/>
        <v>17.575558475689999</v>
      </c>
      <c r="H100" s="6">
        <f t="shared" si="3"/>
        <v>1.4646298729741665</v>
      </c>
      <c r="I100" s="10">
        <v>189</v>
      </c>
      <c r="J100" s="10">
        <v>2</v>
      </c>
      <c r="K100" s="10">
        <v>1</v>
      </c>
      <c r="L100" s="10">
        <v>1</v>
      </c>
      <c r="M100" s="10">
        <v>1</v>
      </c>
      <c r="N100" s="10">
        <v>0</v>
      </c>
      <c r="O100" s="10">
        <v>3</v>
      </c>
      <c r="P100" s="10">
        <v>17.575558475689999</v>
      </c>
      <c r="Q100" s="10"/>
      <c r="R100" s="10"/>
    </row>
    <row r="101" spans="1:18" hidden="1" x14ac:dyDescent="0.3">
      <c r="A101" s="3">
        <v>94</v>
      </c>
      <c r="B101" s="3">
        <v>0</v>
      </c>
      <c r="C101" s="3" t="s">
        <v>114</v>
      </c>
      <c r="D101" s="3">
        <v>1</v>
      </c>
      <c r="E101" s="3" t="s">
        <v>18</v>
      </c>
      <c r="F101" s="4" t="s">
        <v>19</v>
      </c>
      <c r="G101" s="5">
        <f t="shared" si="2"/>
        <v>12.713534822602</v>
      </c>
      <c r="H101" s="6">
        <f t="shared" si="3"/>
        <v>1.0594612352168333</v>
      </c>
      <c r="I101" s="3">
        <v>11</v>
      </c>
      <c r="J101" s="3">
        <v>1</v>
      </c>
      <c r="K101" s="3">
        <v>1</v>
      </c>
      <c r="L101" s="3">
        <v>0</v>
      </c>
      <c r="M101" s="3">
        <v>0</v>
      </c>
      <c r="N101" s="3">
        <v>0</v>
      </c>
      <c r="O101" s="3">
        <v>1</v>
      </c>
      <c r="P101" s="3">
        <v>12.713534822602</v>
      </c>
      <c r="Q101" s="3"/>
      <c r="R101" s="3"/>
    </row>
    <row r="102" spans="1:18" hidden="1" x14ac:dyDescent="0.3">
      <c r="A102" s="3">
        <v>94</v>
      </c>
      <c r="B102" s="3">
        <v>0</v>
      </c>
      <c r="C102" s="3" t="s">
        <v>114</v>
      </c>
      <c r="D102" s="3">
        <v>1</v>
      </c>
      <c r="E102" s="3" t="s">
        <v>83</v>
      </c>
      <c r="F102" s="4" t="s">
        <v>19</v>
      </c>
      <c r="G102" s="5">
        <f t="shared" si="2"/>
        <v>18.002628120893998</v>
      </c>
      <c r="H102" s="6">
        <f t="shared" si="3"/>
        <v>1.5002190100744999</v>
      </c>
      <c r="I102" s="3">
        <v>190</v>
      </c>
      <c r="J102" s="3">
        <v>2</v>
      </c>
      <c r="K102" s="3">
        <v>1</v>
      </c>
      <c r="L102" s="3">
        <v>1</v>
      </c>
      <c r="M102" s="3">
        <v>1</v>
      </c>
      <c r="N102" s="3">
        <v>0</v>
      </c>
      <c r="O102" s="3">
        <v>1</v>
      </c>
      <c r="P102" s="3">
        <v>18.002628120893998</v>
      </c>
      <c r="Q102" s="3"/>
      <c r="R102" s="3"/>
    </row>
    <row r="103" spans="1:18" hidden="1" x14ac:dyDescent="0.3">
      <c r="A103" s="7">
        <v>95</v>
      </c>
      <c r="B103" s="7">
        <v>0</v>
      </c>
      <c r="C103" s="7" t="s">
        <v>115</v>
      </c>
      <c r="D103" s="7">
        <v>1</v>
      </c>
      <c r="E103" s="7" t="s">
        <v>18</v>
      </c>
      <c r="F103" s="8" t="s">
        <v>25</v>
      </c>
      <c r="G103" s="9">
        <f t="shared" si="2"/>
        <v>6.9645203679368999</v>
      </c>
      <c r="H103" s="6">
        <f t="shared" si="3"/>
        <v>0.58037669732807495</v>
      </c>
      <c r="I103" s="7">
        <v>13</v>
      </c>
      <c r="J103" s="7">
        <v>1</v>
      </c>
      <c r="K103" s="7">
        <v>1</v>
      </c>
      <c r="L103" s="7">
        <v>0</v>
      </c>
      <c r="M103" s="7">
        <v>0</v>
      </c>
      <c r="N103" s="7">
        <v>0</v>
      </c>
      <c r="O103" s="7">
        <v>2</v>
      </c>
      <c r="P103" s="7">
        <v>6.9645203679368999</v>
      </c>
      <c r="Q103" s="7"/>
      <c r="R103" s="7"/>
    </row>
    <row r="104" spans="1:18" hidden="1" x14ac:dyDescent="0.3">
      <c r="A104" s="7">
        <v>95</v>
      </c>
      <c r="B104" s="7">
        <v>0</v>
      </c>
      <c r="C104" s="7" t="s">
        <v>115</v>
      </c>
      <c r="D104" s="7">
        <v>1</v>
      </c>
      <c r="E104" s="7" t="s">
        <v>83</v>
      </c>
      <c r="F104" s="8" t="s">
        <v>25</v>
      </c>
      <c r="G104" s="9">
        <f t="shared" si="2"/>
        <v>24.671484888304999</v>
      </c>
      <c r="H104" s="6">
        <f t="shared" si="3"/>
        <v>2.0559570740254167</v>
      </c>
      <c r="I104" s="7">
        <v>191</v>
      </c>
      <c r="J104" s="7">
        <v>2</v>
      </c>
      <c r="K104" s="7">
        <v>1</v>
      </c>
      <c r="L104" s="7">
        <v>1</v>
      </c>
      <c r="M104" s="7">
        <v>1</v>
      </c>
      <c r="N104" s="7">
        <v>0</v>
      </c>
      <c r="O104" s="7">
        <v>2</v>
      </c>
      <c r="P104" s="7">
        <v>17.477003942181</v>
      </c>
      <c r="Q104" s="7">
        <v>24.671484888304999</v>
      </c>
      <c r="R104" s="7"/>
    </row>
    <row r="105" spans="1:18" hidden="1" x14ac:dyDescent="0.3">
      <c r="A105" s="10">
        <v>96</v>
      </c>
      <c r="B105" s="10">
        <v>0</v>
      </c>
      <c r="C105" s="10" t="s">
        <v>116</v>
      </c>
      <c r="D105" s="10">
        <v>1</v>
      </c>
      <c r="E105" s="10" t="s">
        <v>18</v>
      </c>
      <c r="F105" s="11" t="s">
        <v>25</v>
      </c>
      <c r="G105" s="12">
        <f t="shared" si="2"/>
        <v>9.2969776609724004</v>
      </c>
      <c r="H105" s="6">
        <f t="shared" si="3"/>
        <v>0.77474813841436674</v>
      </c>
      <c r="I105" s="10">
        <v>14</v>
      </c>
      <c r="J105" s="10">
        <v>1</v>
      </c>
      <c r="K105" s="10">
        <v>1</v>
      </c>
      <c r="L105" s="10">
        <v>0</v>
      </c>
      <c r="M105" s="10">
        <v>0</v>
      </c>
      <c r="N105" s="10">
        <v>0</v>
      </c>
      <c r="O105" s="10">
        <v>3</v>
      </c>
      <c r="P105" s="10">
        <v>9.2969776609724004</v>
      </c>
      <c r="Q105" s="10"/>
      <c r="R105" s="10"/>
    </row>
    <row r="106" spans="1:18" hidden="1" x14ac:dyDescent="0.3">
      <c r="A106" s="10">
        <v>96</v>
      </c>
      <c r="B106" s="10">
        <v>0</v>
      </c>
      <c r="C106" s="10" t="s">
        <v>116</v>
      </c>
      <c r="D106" s="10">
        <v>1</v>
      </c>
      <c r="E106" s="10" t="s">
        <v>83</v>
      </c>
      <c r="F106" s="11" t="s">
        <v>25</v>
      </c>
      <c r="G106" s="12">
        <f t="shared" si="2"/>
        <v>24.244415243100999</v>
      </c>
      <c r="H106" s="6">
        <f t="shared" si="3"/>
        <v>2.0203679369250831</v>
      </c>
      <c r="I106" s="10">
        <v>192</v>
      </c>
      <c r="J106" s="10">
        <v>2</v>
      </c>
      <c r="K106" s="10">
        <v>1</v>
      </c>
      <c r="L106" s="10">
        <v>1</v>
      </c>
      <c r="M106" s="10">
        <v>0</v>
      </c>
      <c r="N106" s="10">
        <v>0</v>
      </c>
      <c r="O106" s="10">
        <v>3</v>
      </c>
      <c r="P106" s="10">
        <v>24.244415243100999</v>
      </c>
      <c r="Q106" s="10"/>
      <c r="R106" s="10"/>
    </row>
    <row r="107" spans="1:18" hidden="1" x14ac:dyDescent="0.3">
      <c r="A107" s="3">
        <v>97</v>
      </c>
      <c r="B107" s="3">
        <v>0</v>
      </c>
      <c r="C107" s="3" t="s">
        <v>117</v>
      </c>
      <c r="D107" s="3">
        <v>1</v>
      </c>
      <c r="E107" s="3" t="s">
        <v>18</v>
      </c>
      <c r="F107" s="4" t="s">
        <v>19</v>
      </c>
      <c r="G107" s="5">
        <f t="shared" si="2"/>
        <v>6.7674113009198003</v>
      </c>
      <c r="H107" s="6">
        <f t="shared" si="3"/>
        <v>0.56395094174331672</v>
      </c>
      <c r="I107" s="3">
        <v>16</v>
      </c>
      <c r="J107" s="3">
        <v>1</v>
      </c>
      <c r="K107" s="3">
        <v>1</v>
      </c>
      <c r="L107" s="3">
        <v>0</v>
      </c>
      <c r="M107" s="3">
        <v>0</v>
      </c>
      <c r="N107" s="3">
        <v>0</v>
      </c>
      <c r="O107" s="3">
        <v>1</v>
      </c>
      <c r="P107" s="3">
        <v>6.5703022339028001</v>
      </c>
      <c r="Q107" s="3">
        <v>6.7674113009198003</v>
      </c>
      <c r="R107" s="3"/>
    </row>
    <row r="108" spans="1:18" hidden="1" x14ac:dyDescent="0.3">
      <c r="A108" s="3">
        <v>97</v>
      </c>
      <c r="B108" s="3">
        <v>0</v>
      </c>
      <c r="C108" s="3" t="s">
        <v>117</v>
      </c>
      <c r="D108" s="3">
        <v>1</v>
      </c>
      <c r="E108" s="3" t="s">
        <v>83</v>
      </c>
      <c r="F108" s="4" t="s">
        <v>19</v>
      </c>
      <c r="G108" s="5">
        <f t="shared" si="2"/>
        <v>19.776609724046999</v>
      </c>
      <c r="H108" s="6">
        <f t="shared" si="3"/>
        <v>1.64805081033725</v>
      </c>
      <c r="I108" s="3">
        <v>193</v>
      </c>
      <c r="J108" s="3">
        <v>2</v>
      </c>
      <c r="K108" s="3">
        <v>1</v>
      </c>
      <c r="L108" s="3">
        <v>1</v>
      </c>
      <c r="M108" s="3">
        <v>1</v>
      </c>
      <c r="N108" s="3">
        <v>0</v>
      </c>
      <c r="O108" s="3">
        <v>1</v>
      </c>
      <c r="P108" s="3">
        <v>19.776609724046999</v>
      </c>
      <c r="Q108" s="3"/>
      <c r="R108" s="3"/>
    </row>
    <row r="109" spans="1:18" hidden="1" x14ac:dyDescent="0.3">
      <c r="A109" s="7">
        <v>98</v>
      </c>
      <c r="B109" s="7">
        <v>0</v>
      </c>
      <c r="C109" s="7" t="s">
        <v>118</v>
      </c>
      <c r="D109" s="7">
        <v>1</v>
      </c>
      <c r="E109" s="7" t="s">
        <v>18</v>
      </c>
      <c r="F109" s="8" t="s">
        <v>25</v>
      </c>
      <c r="G109" s="9">
        <f t="shared" si="2"/>
        <v>11.235216819973999</v>
      </c>
      <c r="H109" s="6">
        <f t="shared" si="3"/>
        <v>0.9362680683311666</v>
      </c>
      <c r="I109" s="7">
        <v>17</v>
      </c>
      <c r="J109" s="7">
        <v>1</v>
      </c>
      <c r="K109" s="7">
        <v>1</v>
      </c>
      <c r="L109" s="7">
        <v>0</v>
      </c>
      <c r="M109" s="7">
        <v>0</v>
      </c>
      <c r="N109" s="7">
        <v>0</v>
      </c>
      <c r="O109" s="7">
        <v>2</v>
      </c>
      <c r="P109" s="7">
        <v>11.235216819973999</v>
      </c>
      <c r="Q109" s="7"/>
      <c r="R109" s="7"/>
    </row>
    <row r="110" spans="1:18" hidden="1" x14ac:dyDescent="0.3">
      <c r="A110" s="7">
        <v>98</v>
      </c>
      <c r="B110" s="7">
        <v>0</v>
      </c>
      <c r="C110" s="7" t="s">
        <v>118</v>
      </c>
      <c r="D110" s="7">
        <v>1</v>
      </c>
      <c r="E110" s="7" t="s">
        <v>83</v>
      </c>
      <c r="F110" s="8" t="s">
        <v>25</v>
      </c>
      <c r="G110" s="9">
        <f t="shared" si="2"/>
        <v>23.193166885677002</v>
      </c>
      <c r="H110" s="6">
        <f t="shared" si="3"/>
        <v>1.9327639071397502</v>
      </c>
      <c r="I110" s="7">
        <v>194</v>
      </c>
      <c r="J110" s="7">
        <v>2</v>
      </c>
      <c r="K110" s="7">
        <v>1</v>
      </c>
      <c r="L110" s="7">
        <v>1</v>
      </c>
      <c r="M110" s="7">
        <v>0</v>
      </c>
      <c r="N110" s="7">
        <v>0</v>
      </c>
      <c r="O110" s="7">
        <v>2</v>
      </c>
      <c r="P110" s="7">
        <v>17.805519053876001</v>
      </c>
      <c r="Q110" s="7">
        <v>23.193166885677002</v>
      </c>
      <c r="R110" s="7"/>
    </row>
    <row r="111" spans="1:18" hidden="1" x14ac:dyDescent="0.3">
      <c r="A111" s="10">
        <v>99</v>
      </c>
      <c r="B111" s="10">
        <v>0</v>
      </c>
      <c r="C111" s="10" t="s">
        <v>119</v>
      </c>
      <c r="D111" s="10">
        <v>1</v>
      </c>
      <c r="E111" s="10" t="s">
        <v>18</v>
      </c>
      <c r="F111" s="11" t="s">
        <v>25</v>
      </c>
      <c r="G111" s="12">
        <f t="shared" si="2"/>
        <v>10.742444152431</v>
      </c>
      <c r="H111" s="6">
        <f t="shared" si="3"/>
        <v>0.89520367936925005</v>
      </c>
      <c r="I111" s="10">
        <v>19</v>
      </c>
      <c r="J111" s="10">
        <v>1</v>
      </c>
      <c r="K111" s="10">
        <v>1</v>
      </c>
      <c r="L111" s="10">
        <v>0</v>
      </c>
      <c r="M111" s="10">
        <v>0</v>
      </c>
      <c r="N111" s="10">
        <v>0</v>
      </c>
      <c r="O111" s="10">
        <v>3</v>
      </c>
      <c r="P111" s="10">
        <v>10.742444152431</v>
      </c>
      <c r="Q111" s="10"/>
      <c r="R111" s="10"/>
    </row>
    <row r="112" spans="1:18" hidden="1" x14ac:dyDescent="0.3">
      <c r="A112" s="10">
        <v>99</v>
      </c>
      <c r="B112" s="10">
        <v>0</v>
      </c>
      <c r="C112" s="10" t="s">
        <v>119</v>
      </c>
      <c r="D112" s="10">
        <v>1</v>
      </c>
      <c r="E112" s="10" t="s">
        <v>83</v>
      </c>
      <c r="F112" s="11" t="s">
        <v>25</v>
      </c>
      <c r="G112" s="12">
        <f t="shared" si="2"/>
        <v>21.911957950066</v>
      </c>
      <c r="H112" s="6">
        <f t="shared" si="3"/>
        <v>1.8259964958388333</v>
      </c>
      <c r="I112" s="10">
        <v>195</v>
      </c>
      <c r="J112" s="10">
        <v>2</v>
      </c>
      <c r="K112" s="10">
        <v>1</v>
      </c>
      <c r="L112" s="10">
        <v>1</v>
      </c>
      <c r="M112" s="10">
        <v>1</v>
      </c>
      <c r="N112" s="10">
        <v>0</v>
      </c>
      <c r="O112" s="10">
        <v>3</v>
      </c>
      <c r="P112" s="10">
        <v>19.710906701708002</v>
      </c>
      <c r="Q112" s="10">
        <v>21.911957950066</v>
      </c>
      <c r="R112" s="10"/>
    </row>
    <row r="113" spans="1:18" hidden="1" x14ac:dyDescent="0.3">
      <c r="A113" s="3">
        <v>100</v>
      </c>
      <c r="B113" s="3">
        <v>0</v>
      </c>
      <c r="C113" s="3" t="s">
        <v>120</v>
      </c>
      <c r="D113" s="3">
        <v>1</v>
      </c>
      <c r="E113" s="3" t="s">
        <v>18</v>
      </c>
      <c r="F113" s="4" t="s">
        <v>25</v>
      </c>
      <c r="G113" s="5">
        <f t="shared" si="2"/>
        <v>11.629434954008</v>
      </c>
      <c r="H113" s="6">
        <f t="shared" si="3"/>
        <v>0.96911957950066663</v>
      </c>
      <c r="I113" s="3">
        <v>20</v>
      </c>
      <c r="J113" s="3">
        <v>1</v>
      </c>
      <c r="K113" s="3">
        <v>1</v>
      </c>
      <c r="L113" s="3">
        <v>0</v>
      </c>
      <c r="M113" s="3">
        <v>0</v>
      </c>
      <c r="N113" s="3">
        <v>0</v>
      </c>
      <c r="O113" s="3">
        <v>1</v>
      </c>
      <c r="P113" s="3">
        <v>10.742444152431</v>
      </c>
      <c r="Q113" s="3">
        <v>11.629434954008</v>
      </c>
      <c r="R113" s="3"/>
    </row>
    <row r="114" spans="1:18" hidden="1" x14ac:dyDescent="0.3">
      <c r="A114" s="3">
        <v>100</v>
      </c>
      <c r="B114" s="3">
        <v>0</v>
      </c>
      <c r="C114" s="3" t="s">
        <v>120</v>
      </c>
      <c r="D114" s="3">
        <v>1</v>
      </c>
      <c r="E114" s="3" t="s">
        <v>83</v>
      </c>
      <c r="F114" s="4" t="s">
        <v>25</v>
      </c>
      <c r="G114" s="5">
        <f t="shared" si="2"/>
        <v>22.667542706965001</v>
      </c>
      <c r="H114" s="6">
        <f t="shared" si="3"/>
        <v>1.8889618922470834</v>
      </c>
      <c r="I114" s="3">
        <v>196</v>
      </c>
      <c r="J114" s="3">
        <v>2</v>
      </c>
      <c r="K114" s="3">
        <v>1</v>
      </c>
      <c r="L114" s="3">
        <v>1</v>
      </c>
      <c r="M114" s="3">
        <v>1</v>
      </c>
      <c r="N114" s="3">
        <v>0</v>
      </c>
      <c r="O114" s="3">
        <v>1</v>
      </c>
      <c r="P114" s="3">
        <v>22.667542706965001</v>
      </c>
      <c r="Q114" s="3"/>
      <c r="R114" s="3"/>
    </row>
    <row r="115" spans="1:18" hidden="1" x14ac:dyDescent="0.3">
      <c r="A115" s="7">
        <v>101</v>
      </c>
      <c r="B115" s="7">
        <v>0</v>
      </c>
      <c r="C115" s="7" t="s">
        <v>121</v>
      </c>
      <c r="D115" s="7">
        <v>1</v>
      </c>
      <c r="E115" s="7" t="s">
        <v>18</v>
      </c>
      <c r="F115" s="8" t="s">
        <v>25</v>
      </c>
      <c r="G115" s="9">
        <f t="shared" si="2"/>
        <v>12.352168199736999</v>
      </c>
      <c r="H115" s="6">
        <f t="shared" si="3"/>
        <v>1.0293473499780832</v>
      </c>
      <c r="I115" s="7">
        <v>21</v>
      </c>
      <c r="J115" s="7">
        <v>1</v>
      </c>
      <c r="K115" s="7">
        <v>1</v>
      </c>
      <c r="L115" s="7">
        <v>0</v>
      </c>
      <c r="M115" s="7">
        <v>0</v>
      </c>
      <c r="N115" s="7">
        <v>0</v>
      </c>
      <c r="O115" s="7">
        <v>2</v>
      </c>
      <c r="P115" s="7">
        <v>12.352168199736999</v>
      </c>
      <c r="Q115" s="7"/>
      <c r="R115" s="7"/>
    </row>
    <row r="116" spans="1:18" hidden="1" x14ac:dyDescent="0.3">
      <c r="A116" s="7">
        <v>101</v>
      </c>
      <c r="B116" s="7">
        <v>0</v>
      </c>
      <c r="C116" s="7" t="s">
        <v>121</v>
      </c>
      <c r="D116" s="7">
        <v>1</v>
      </c>
      <c r="E116" s="7" t="s">
        <v>83</v>
      </c>
      <c r="F116" s="8" t="s">
        <v>25</v>
      </c>
      <c r="G116" s="9">
        <f t="shared" si="2"/>
        <v>22.570356986421</v>
      </c>
      <c r="H116" s="6">
        <f t="shared" si="3"/>
        <v>1.88086308220175</v>
      </c>
      <c r="I116" s="7">
        <v>197</v>
      </c>
      <c r="J116" s="7">
        <v>2</v>
      </c>
      <c r="K116" s="7">
        <v>1</v>
      </c>
      <c r="L116" s="7">
        <v>1</v>
      </c>
      <c r="M116" s="7">
        <v>0</v>
      </c>
      <c r="N116" s="7">
        <v>0</v>
      </c>
      <c r="O116" s="7">
        <v>2</v>
      </c>
      <c r="P116" s="7">
        <v>18.956690757775</v>
      </c>
      <c r="Q116" s="7">
        <v>22.570356986421</v>
      </c>
      <c r="R116" s="7"/>
    </row>
    <row r="117" spans="1:18" hidden="1" x14ac:dyDescent="0.3">
      <c r="A117" s="10">
        <v>102</v>
      </c>
      <c r="B117" s="10">
        <v>0</v>
      </c>
      <c r="C117" s="10" t="s">
        <v>122</v>
      </c>
      <c r="D117" s="10">
        <v>1</v>
      </c>
      <c r="E117" s="10" t="s">
        <v>18</v>
      </c>
      <c r="F117" s="11" t="s">
        <v>19</v>
      </c>
      <c r="G117" s="12">
        <f t="shared" si="2"/>
        <v>10.808147174769999</v>
      </c>
      <c r="H117" s="6">
        <f t="shared" si="3"/>
        <v>0.90067893123083331</v>
      </c>
      <c r="I117" s="10">
        <v>24</v>
      </c>
      <c r="J117" s="10">
        <v>1</v>
      </c>
      <c r="K117" s="10">
        <v>1</v>
      </c>
      <c r="L117" s="10">
        <v>0</v>
      </c>
      <c r="M117" s="10">
        <v>1</v>
      </c>
      <c r="N117" s="10">
        <v>0</v>
      </c>
      <c r="O117" s="10">
        <v>3</v>
      </c>
      <c r="P117" s="10">
        <v>10.216819973719</v>
      </c>
      <c r="Q117" s="10">
        <v>10.808147174769999</v>
      </c>
      <c r="R117" s="10"/>
    </row>
    <row r="118" spans="1:18" hidden="1" x14ac:dyDescent="0.3">
      <c r="A118" s="10">
        <v>102</v>
      </c>
      <c r="B118" s="10">
        <v>0</v>
      </c>
      <c r="C118" s="10" t="s">
        <v>122</v>
      </c>
      <c r="D118" s="10">
        <v>1</v>
      </c>
      <c r="E118" s="10" t="s">
        <v>83</v>
      </c>
      <c r="F118" s="11" t="s">
        <v>19</v>
      </c>
      <c r="G118" s="12">
        <f t="shared" si="2"/>
        <v>18.035479632063002</v>
      </c>
      <c r="H118" s="6">
        <f t="shared" si="3"/>
        <v>1.5029566360052502</v>
      </c>
      <c r="I118" s="10">
        <v>198</v>
      </c>
      <c r="J118" s="10">
        <v>2</v>
      </c>
      <c r="K118" s="10">
        <v>1</v>
      </c>
      <c r="L118" s="10">
        <v>1</v>
      </c>
      <c r="M118" s="10">
        <v>0</v>
      </c>
      <c r="N118" s="10">
        <v>0</v>
      </c>
      <c r="O118" s="10">
        <v>3</v>
      </c>
      <c r="P118" s="10">
        <v>16.097240473062001</v>
      </c>
      <c r="Q118" s="10">
        <v>18.035479632063002</v>
      </c>
      <c r="R118" s="10"/>
    </row>
    <row r="119" spans="1:18" x14ac:dyDescent="0.3">
      <c r="A119" s="3">
        <v>103</v>
      </c>
      <c r="B119" s="3">
        <v>1</v>
      </c>
      <c r="C119" s="3" t="s">
        <v>123</v>
      </c>
      <c r="D119" s="3">
        <v>1</v>
      </c>
      <c r="E119" s="3" t="s">
        <v>18</v>
      </c>
      <c r="F119" s="4" t="s">
        <v>19</v>
      </c>
      <c r="G119" s="5">
        <f t="shared" si="2"/>
        <v>10.118265440209999</v>
      </c>
      <c r="H119" s="6">
        <f t="shared" si="3"/>
        <v>0.84318878668416664</v>
      </c>
      <c r="I119" s="3">
        <v>25</v>
      </c>
      <c r="J119" s="3">
        <v>1</v>
      </c>
      <c r="K119" s="3">
        <v>1</v>
      </c>
      <c r="L119" s="3">
        <v>0</v>
      </c>
      <c r="M119" s="3">
        <v>1</v>
      </c>
      <c r="N119" s="3">
        <v>1</v>
      </c>
      <c r="O119" s="3">
        <v>1</v>
      </c>
      <c r="P119" s="3">
        <v>10.118265440209999</v>
      </c>
      <c r="Q119" s="3"/>
      <c r="R119" s="3"/>
    </row>
    <row r="120" spans="1:18" x14ac:dyDescent="0.3">
      <c r="A120" s="3">
        <v>103</v>
      </c>
      <c r="B120" s="3">
        <v>1</v>
      </c>
      <c r="C120" s="3" t="s">
        <v>123</v>
      </c>
      <c r="D120" s="3">
        <v>1</v>
      </c>
      <c r="E120" s="3" t="s">
        <v>83</v>
      </c>
      <c r="F120" s="4" t="s">
        <v>19</v>
      </c>
      <c r="G120" s="5">
        <f t="shared" si="2"/>
        <v>18.266809023215</v>
      </c>
      <c r="H120" s="6">
        <f t="shared" si="3"/>
        <v>1.5222340852679166</v>
      </c>
      <c r="I120" s="3">
        <v>199</v>
      </c>
      <c r="J120" s="3">
        <v>2</v>
      </c>
      <c r="K120" s="3">
        <v>1</v>
      </c>
      <c r="L120" s="3">
        <v>1</v>
      </c>
      <c r="M120" s="3">
        <v>1</v>
      </c>
      <c r="N120" s="3">
        <v>1</v>
      </c>
      <c r="O120" s="3">
        <v>1</v>
      </c>
      <c r="P120" s="3">
        <v>18.266809023215</v>
      </c>
      <c r="Q120" s="3"/>
      <c r="R120" s="3"/>
    </row>
    <row r="121" spans="1:18" x14ac:dyDescent="0.3">
      <c r="A121" s="7">
        <v>104</v>
      </c>
      <c r="B121" s="7">
        <v>2</v>
      </c>
      <c r="C121" s="7" t="s">
        <v>124</v>
      </c>
      <c r="D121" s="7">
        <v>1</v>
      </c>
      <c r="E121" s="7" t="s">
        <v>18</v>
      </c>
      <c r="F121" s="8" t="s">
        <v>19</v>
      </c>
      <c r="G121" s="9">
        <f t="shared" si="2"/>
        <v>8.4086180464300995</v>
      </c>
      <c r="H121" s="6">
        <f t="shared" si="3"/>
        <v>0.70071817053584162</v>
      </c>
      <c r="I121" s="7">
        <v>26</v>
      </c>
      <c r="J121" s="7">
        <v>1</v>
      </c>
      <c r="K121" s="7">
        <v>1</v>
      </c>
      <c r="L121" s="7">
        <v>0</v>
      </c>
      <c r="M121" s="7">
        <v>1</v>
      </c>
      <c r="N121" s="7">
        <v>1</v>
      </c>
      <c r="O121" s="7">
        <v>2</v>
      </c>
      <c r="P121" s="7">
        <v>8.4086180464300995</v>
      </c>
      <c r="Q121" s="7"/>
      <c r="R121" s="7"/>
    </row>
    <row r="122" spans="1:18" x14ac:dyDescent="0.3">
      <c r="A122" s="7">
        <v>104</v>
      </c>
      <c r="B122" s="7">
        <v>2</v>
      </c>
      <c r="C122" s="7" t="s">
        <v>124</v>
      </c>
      <c r="D122" s="7">
        <v>1</v>
      </c>
      <c r="E122" s="7" t="s">
        <v>83</v>
      </c>
      <c r="F122" s="8" t="s">
        <v>19</v>
      </c>
      <c r="G122" s="9">
        <f t="shared" si="2"/>
        <v>23.751642575558002</v>
      </c>
      <c r="H122" s="6">
        <f t="shared" si="3"/>
        <v>1.9793035479631669</v>
      </c>
      <c r="I122" s="7">
        <v>200</v>
      </c>
      <c r="J122" s="7">
        <v>2</v>
      </c>
      <c r="K122" s="7">
        <v>1</v>
      </c>
      <c r="L122" s="7">
        <v>1</v>
      </c>
      <c r="M122" s="7">
        <v>1</v>
      </c>
      <c r="N122" s="7">
        <v>1</v>
      </c>
      <c r="O122" s="7">
        <v>2</v>
      </c>
      <c r="P122" s="7">
        <v>20.727934734998001</v>
      </c>
      <c r="Q122" s="7">
        <v>23.751642575558002</v>
      </c>
      <c r="R122" s="7"/>
    </row>
    <row r="123" spans="1:18" hidden="1" x14ac:dyDescent="0.3">
      <c r="A123" s="10">
        <v>105</v>
      </c>
      <c r="B123" s="10">
        <v>0</v>
      </c>
      <c r="C123" s="10" t="s">
        <v>125</v>
      </c>
      <c r="D123" s="10">
        <v>1</v>
      </c>
      <c r="E123" s="10" t="s">
        <v>18</v>
      </c>
      <c r="F123" s="11" t="s">
        <v>19</v>
      </c>
      <c r="G123" s="12">
        <f t="shared" si="2"/>
        <v>10.873850197109</v>
      </c>
      <c r="H123" s="6">
        <f t="shared" si="3"/>
        <v>0.90615418309241669</v>
      </c>
      <c r="I123" s="10">
        <v>27</v>
      </c>
      <c r="J123" s="10">
        <v>1</v>
      </c>
      <c r="K123" s="10">
        <v>1</v>
      </c>
      <c r="L123" s="10">
        <v>0</v>
      </c>
      <c r="M123" s="10">
        <v>0</v>
      </c>
      <c r="N123" s="10">
        <v>0</v>
      </c>
      <c r="O123" s="10">
        <v>3</v>
      </c>
      <c r="P123" s="10">
        <v>10.019710906702</v>
      </c>
      <c r="Q123" s="10">
        <v>10.873850197109</v>
      </c>
      <c r="R123" s="10"/>
    </row>
    <row r="124" spans="1:18" hidden="1" x14ac:dyDescent="0.3">
      <c r="A124" s="10">
        <v>105</v>
      </c>
      <c r="B124" s="10">
        <v>0</v>
      </c>
      <c r="C124" s="10" t="s">
        <v>125</v>
      </c>
      <c r="D124" s="10">
        <v>1</v>
      </c>
      <c r="E124" s="10" t="s">
        <v>83</v>
      </c>
      <c r="F124" s="11" t="s">
        <v>19</v>
      </c>
      <c r="G124" s="12">
        <f t="shared" si="2"/>
        <v>17.838370565045999</v>
      </c>
      <c r="H124" s="6">
        <f t="shared" si="3"/>
        <v>1.4865308804205</v>
      </c>
      <c r="I124" s="10">
        <v>201</v>
      </c>
      <c r="J124" s="10">
        <v>2</v>
      </c>
      <c r="K124" s="10">
        <v>1</v>
      </c>
      <c r="L124" s="10">
        <v>1</v>
      </c>
      <c r="M124" s="10">
        <v>1</v>
      </c>
      <c r="N124" s="10">
        <v>0</v>
      </c>
      <c r="O124" s="10">
        <v>3</v>
      </c>
      <c r="P124" s="10">
        <v>17.838370565045999</v>
      </c>
      <c r="Q124" s="10"/>
      <c r="R124" s="10"/>
    </row>
    <row r="125" spans="1:18" x14ac:dyDescent="0.3">
      <c r="A125" s="3">
        <v>106</v>
      </c>
      <c r="B125" s="3">
        <v>3</v>
      </c>
      <c r="C125" s="3" t="s">
        <v>126</v>
      </c>
      <c r="D125" s="3">
        <v>1</v>
      </c>
      <c r="E125" s="3" t="s">
        <v>18</v>
      </c>
      <c r="F125" s="4" t="s">
        <v>25</v>
      </c>
      <c r="G125" s="5">
        <f t="shared" si="2"/>
        <v>8.3442838370564996</v>
      </c>
      <c r="H125" s="6">
        <f t="shared" si="3"/>
        <v>0.695356986421375</v>
      </c>
      <c r="I125" s="3">
        <v>30</v>
      </c>
      <c r="J125" s="3">
        <v>1</v>
      </c>
      <c r="K125" s="3">
        <v>1</v>
      </c>
      <c r="L125" s="3">
        <v>0</v>
      </c>
      <c r="M125" s="3">
        <v>1</v>
      </c>
      <c r="N125" s="3">
        <v>1</v>
      </c>
      <c r="O125" s="3">
        <v>1</v>
      </c>
      <c r="P125" s="3">
        <v>8.3442838370564996</v>
      </c>
      <c r="Q125" s="3"/>
      <c r="R125" s="3"/>
    </row>
    <row r="126" spans="1:18" x14ac:dyDescent="0.3">
      <c r="A126" s="3">
        <v>106</v>
      </c>
      <c r="B126" s="3">
        <v>3</v>
      </c>
      <c r="C126" s="3" t="s">
        <v>126</v>
      </c>
      <c r="D126" s="3">
        <v>1</v>
      </c>
      <c r="E126" s="3" t="s">
        <v>83</v>
      </c>
      <c r="F126" s="4" t="s">
        <v>25</v>
      </c>
      <c r="G126" s="5">
        <f t="shared" si="2"/>
        <v>20.762155059133001</v>
      </c>
      <c r="H126" s="6">
        <f t="shared" si="3"/>
        <v>1.7301795882610833</v>
      </c>
      <c r="I126" s="3">
        <v>202</v>
      </c>
      <c r="J126" s="3">
        <v>2</v>
      </c>
      <c r="K126" s="3">
        <v>1</v>
      </c>
      <c r="L126" s="3">
        <v>1</v>
      </c>
      <c r="M126" s="3">
        <v>1</v>
      </c>
      <c r="N126" s="3">
        <v>1</v>
      </c>
      <c r="O126" s="3">
        <v>1</v>
      </c>
      <c r="P126" s="3">
        <v>20.762155059133001</v>
      </c>
      <c r="Q126" s="3"/>
      <c r="R126" s="3"/>
    </row>
    <row r="127" spans="1:18" x14ac:dyDescent="0.3">
      <c r="A127" s="7">
        <v>107</v>
      </c>
      <c r="B127" s="7">
        <v>4</v>
      </c>
      <c r="C127" s="7" t="s">
        <v>127</v>
      </c>
      <c r="D127" s="7">
        <v>1</v>
      </c>
      <c r="E127" s="7" t="s">
        <v>18</v>
      </c>
      <c r="F127" s="8" t="s">
        <v>19</v>
      </c>
      <c r="G127" s="9">
        <f t="shared" si="2"/>
        <v>11.892247043364</v>
      </c>
      <c r="H127" s="6">
        <f t="shared" si="3"/>
        <v>0.99102058694700002</v>
      </c>
      <c r="I127" s="7">
        <v>31</v>
      </c>
      <c r="J127" s="7">
        <v>1</v>
      </c>
      <c r="K127" s="7">
        <v>1</v>
      </c>
      <c r="L127" s="7">
        <v>0</v>
      </c>
      <c r="M127" s="7">
        <v>1</v>
      </c>
      <c r="N127" s="7">
        <v>1</v>
      </c>
      <c r="O127" s="7">
        <v>2</v>
      </c>
      <c r="P127" s="7">
        <v>11.892247043364</v>
      </c>
      <c r="Q127" s="7"/>
      <c r="R127" s="7"/>
    </row>
    <row r="128" spans="1:18" x14ac:dyDescent="0.3">
      <c r="A128" s="7">
        <v>107</v>
      </c>
      <c r="B128" s="7">
        <v>4</v>
      </c>
      <c r="C128" s="7" t="s">
        <v>127</v>
      </c>
      <c r="D128" s="7">
        <v>1</v>
      </c>
      <c r="E128" s="7" t="s">
        <v>83</v>
      </c>
      <c r="F128" s="8" t="s">
        <v>19</v>
      </c>
      <c r="G128" s="9">
        <f t="shared" si="2"/>
        <v>17.641261498028999</v>
      </c>
      <c r="H128" s="6">
        <f t="shared" si="3"/>
        <v>1.47010512483575</v>
      </c>
      <c r="I128" s="7">
        <v>203</v>
      </c>
      <c r="J128" s="7">
        <v>2</v>
      </c>
      <c r="K128" s="7">
        <v>1</v>
      </c>
      <c r="L128" s="7">
        <v>1</v>
      </c>
      <c r="M128" s="7">
        <v>1</v>
      </c>
      <c r="N128" s="7">
        <v>1</v>
      </c>
      <c r="O128" s="7">
        <v>2</v>
      </c>
      <c r="P128" s="7">
        <v>17.641261498028999</v>
      </c>
      <c r="Q128" s="7"/>
      <c r="R128" s="7"/>
    </row>
    <row r="129" spans="1:18" hidden="1" x14ac:dyDescent="0.3">
      <c r="A129" s="10">
        <v>108</v>
      </c>
      <c r="B129" s="10">
        <v>0</v>
      </c>
      <c r="C129" s="10" t="s">
        <v>128</v>
      </c>
      <c r="D129" s="10">
        <v>1</v>
      </c>
      <c r="E129" s="10" t="s">
        <v>18</v>
      </c>
      <c r="F129" s="11" t="s">
        <v>19</v>
      </c>
      <c r="G129" s="12">
        <f t="shared" si="2"/>
        <v>5.6504599211563997</v>
      </c>
      <c r="H129" s="6">
        <f t="shared" si="3"/>
        <v>0.47087166009636666</v>
      </c>
      <c r="I129" s="10">
        <v>33</v>
      </c>
      <c r="J129" s="10">
        <v>1</v>
      </c>
      <c r="K129" s="10">
        <v>1</v>
      </c>
      <c r="L129" s="10">
        <v>0</v>
      </c>
      <c r="M129" s="10">
        <v>1</v>
      </c>
      <c r="N129" s="10">
        <v>0</v>
      </c>
      <c r="O129" s="10">
        <v>3</v>
      </c>
      <c r="P129" s="10">
        <v>2.9894875164257999</v>
      </c>
      <c r="Q129" s="10">
        <v>5.6504599211563997</v>
      </c>
      <c r="R129" s="10"/>
    </row>
    <row r="130" spans="1:18" hidden="1" x14ac:dyDescent="0.3">
      <c r="A130" s="10">
        <v>108</v>
      </c>
      <c r="B130" s="10">
        <v>0</v>
      </c>
      <c r="C130" s="10" t="s">
        <v>128</v>
      </c>
      <c r="D130" s="10">
        <v>1</v>
      </c>
      <c r="E130" s="10" t="s">
        <v>83</v>
      </c>
      <c r="F130" s="11" t="s">
        <v>19</v>
      </c>
      <c r="G130" s="12">
        <f t="shared" ref="G130:G193" si="4">MAX(P130:R130)</f>
        <v>21.419185282522999</v>
      </c>
      <c r="H130" s="6">
        <f t="shared" ref="H130:H193" si="5">G130/12</f>
        <v>1.7849321068769166</v>
      </c>
      <c r="I130" s="10">
        <v>204</v>
      </c>
      <c r="J130" s="10">
        <v>2</v>
      </c>
      <c r="K130" s="10">
        <v>1</v>
      </c>
      <c r="L130" s="10">
        <v>1</v>
      </c>
      <c r="M130" s="10">
        <v>0</v>
      </c>
      <c r="N130" s="10">
        <v>0</v>
      </c>
      <c r="O130" s="10">
        <v>3</v>
      </c>
      <c r="P130" s="10">
        <v>20.170827858081001</v>
      </c>
      <c r="Q130" s="10">
        <v>21.419185282522999</v>
      </c>
      <c r="R130" s="10"/>
    </row>
    <row r="131" spans="1:18" hidden="1" x14ac:dyDescent="0.3">
      <c r="A131" s="3">
        <v>109</v>
      </c>
      <c r="B131" s="3">
        <v>0</v>
      </c>
      <c r="C131" s="3" t="s">
        <v>129</v>
      </c>
      <c r="D131" s="3">
        <v>1</v>
      </c>
      <c r="E131" s="3" t="s">
        <v>18</v>
      </c>
      <c r="F131" s="4" t="s">
        <v>19</v>
      </c>
      <c r="G131" s="5">
        <f t="shared" si="4"/>
        <v>11.202365308804</v>
      </c>
      <c r="H131" s="6">
        <f t="shared" si="5"/>
        <v>0.93353044240033334</v>
      </c>
      <c r="I131" s="3">
        <v>35</v>
      </c>
      <c r="J131" s="3">
        <v>1</v>
      </c>
      <c r="K131" s="3">
        <v>1</v>
      </c>
      <c r="L131" s="3">
        <v>0</v>
      </c>
      <c r="M131" s="3">
        <v>1</v>
      </c>
      <c r="N131" s="3">
        <v>0</v>
      </c>
      <c r="O131" s="3">
        <v>1</v>
      </c>
      <c r="P131" s="3">
        <v>11.202365308804</v>
      </c>
      <c r="Q131" s="3"/>
      <c r="R131" s="3"/>
    </row>
    <row r="132" spans="1:18" hidden="1" x14ac:dyDescent="0.3">
      <c r="A132" s="3">
        <v>109</v>
      </c>
      <c r="B132" s="3">
        <v>0</v>
      </c>
      <c r="C132" s="3" t="s">
        <v>129</v>
      </c>
      <c r="D132" s="3">
        <v>1</v>
      </c>
      <c r="E132" s="3" t="s">
        <v>83</v>
      </c>
      <c r="F132" s="4" t="s">
        <v>19</v>
      </c>
      <c r="G132" s="5">
        <f t="shared" si="4"/>
        <v>22.240473061761001</v>
      </c>
      <c r="H132" s="6">
        <f t="shared" si="5"/>
        <v>1.85337275514675</v>
      </c>
      <c r="I132" s="3">
        <v>205</v>
      </c>
      <c r="J132" s="3">
        <v>2</v>
      </c>
      <c r="K132" s="3">
        <v>1</v>
      </c>
      <c r="L132" s="3">
        <v>1</v>
      </c>
      <c r="M132" s="3">
        <v>0</v>
      </c>
      <c r="N132" s="3">
        <v>0</v>
      </c>
      <c r="O132" s="3">
        <v>1</v>
      </c>
      <c r="P132" s="3">
        <v>18.035479632063002</v>
      </c>
      <c r="Q132" s="3">
        <v>22.240473061761001</v>
      </c>
      <c r="R132" s="3"/>
    </row>
    <row r="133" spans="1:18" hidden="1" x14ac:dyDescent="0.3">
      <c r="A133" s="7">
        <v>110</v>
      </c>
      <c r="B133" s="7">
        <v>0</v>
      </c>
      <c r="C133" s="7" t="s">
        <v>130</v>
      </c>
      <c r="D133" s="7">
        <v>1</v>
      </c>
      <c r="E133" s="7" t="s">
        <v>18</v>
      </c>
      <c r="F133" s="8" t="s">
        <v>19</v>
      </c>
      <c r="G133" s="9">
        <f t="shared" si="4"/>
        <v>6.5360819097678</v>
      </c>
      <c r="H133" s="6">
        <f t="shared" si="5"/>
        <v>0.54467349248065</v>
      </c>
      <c r="I133" s="7">
        <v>36</v>
      </c>
      <c r="J133" s="7">
        <v>1</v>
      </c>
      <c r="K133" s="7">
        <v>1</v>
      </c>
      <c r="L133" s="7">
        <v>0</v>
      </c>
      <c r="M133" s="7">
        <v>1</v>
      </c>
      <c r="N133" s="7">
        <v>0</v>
      </c>
      <c r="O133" s="7">
        <v>2</v>
      </c>
      <c r="P133" s="7">
        <v>6.5360819097678</v>
      </c>
      <c r="Q133" s="7"/>
      <c r="R133" s="7"/>
    </row>
    <row r="134" spans="1:18" hidden="1" x14ac:dyDescent="0.3">
      <c r="A134" s="7">
        <v>110</v>
      </c>
      <c r="B134" s="7">
        <v>0</v>
      </c>
      <c r="C134" s="7" t="s">
        <v>130</v>
      </c>
      <c r="D134" s="7">
        <v>1</v>
      </c>
      <c r="E134" s="7" t="s">
        <v>83</v>
      </c>
      <c r="F134" s="8" t="s">
        <v>19</v>
      </c>
      <c r="G134" s="9">
        <f t="shared" si="4"/>
        <v>18.428328953131999</v>
      </c>
      <c r="H134" s="6">
        <f t="shared" si="5"/>
        <v>1.5356940794276666</v>
      </c>
      <c r="I134" s="7">
        <v>206</v>
      </c>
      <c r="J134" s="7">
        <v>2</v>
      </c>
      <c r="K134" s="7">
        <v>1</v>
      </c>
      <c r="L134" s="7">
        <v>1</v>
      </c>
      <c r="M134" s="7">
        <v>0</v>
      </c>
      <c r="N134" s="7">
        <v>0</v>
      </c>
      <c r="O134" s="7">
        <v>2</v>
      </c>
      <c r="P134" s="7">
        <v>15.044623302672001</v>
      </c>
      <c r="Q134" s="7">
        <v>18.428328953131999</v>
      </c>
      <c r="R134" s="7"/>
    </row>
    <row r="135" spans="1:18" x14ac:dyDescent="0.3">
      <c r="A135" s="10">
        <v>111</v>
      </c>
      <c r="B135" s="10">
        <v>5</v>
      </c>
      <c r="C135" s="10" t="s">
        <v>131</v>
      </c>
      <c r="D135" s="10">
        <v>1</v>
      </c>
      <c r="E135" s="10" t="s">
        <v>18</v>
      </c>
      <c r="F135" s="11" t="s">
        <v>25</v>
      </c>
      <c r="G135" s="12">
        <f t="shared" si="4"/>
        <v>11.038107752957</v>
      </c>
      <c r="H135" s="6">
        <f t="shared" si="5"/>
        <v>0.9198423127464167</v>
      </c>
      <c r="I135" s="10">
        <v>37</v>
      </c>
      <c r="J135" s="10">
        <v>1</v>
      </c>
      <c r="K135" s="10">
        <v>1</v>
      </c>
      <c r="L135" s="10">
        <v>0</v>
      </c>
      <c r="M135" s="10">
        <v>1</v>
      </c>
      <c r="N135" s="10">
        <v>1</v>
      </c>
      <c r="O135" s="10">
        <v>3</v>
      </c>
      <c r="P135" s="10">
        <v>11.038107752957</v>
      </c>
      <c r="Q135" s="10"/>
      <c r="R135" s="10"/>
    </row>
    <row r="136" spans="1:18" x14ac:dyDescent="0.3">
      <c r="A136" s="10">
        <v>111</v>
      </c>
      <c r="B136" s="10">
        <v>5</v>
      </c>
      <c r="C136" s="10" t="s">
        <v>131</v>
      </c>
      <c r="D136" s="10">
        <v>1</v>
      </c>
      <c r="E136" s="10" t="s">
        <v>83</v>
      </c>
      <c r="F136" s="11" t="s">
        <v>25</v>
      </c>
      <c r="G136" s="12">
        <f t="shared" si="4"/>
        <v>20.236530880419998</v>
      </c>
      <c r="H136" s="6">
        <f t="shared" si="5"/>
        <v>1.6863775733683333</v>
      </c>
      <c r="I136" s="10">
        <v>207</v>
      </c>
      <c r="J136" s="10">
        <v>2</v>
      </c>
      <c r="K136" s="10">
        <v>1</v>
      </c>
      <c r="L136" s="10">
        <v>1</v>
      </c>
      <c r="M136" s="10">
        <v>1</v>
      </c>
      <c r="N136" s="10">
        <v>1</v>
      </c>
      <c r="O136" s="10">
        <v>3</v>
      </c>
      <c r="P136" s="10">
        <v>20.236530880419998</v>
      </c>
      <c r="Q136" s="10"/>
      <c r="R136" s="10"/>
    </row>
    <row r="137" spans="1:18" hidden="1" x14ac:dyDescent="0.3">
      <c r="A137" s="3">
        <v>112</v>
      </c>
      <c r="B137" s="3">
        <v>0</v>
      </c>
      <c r="C137" s="3" t="s">
        <v>132</v>
      </c>
      <c r="D137" s="3">
        <v>1</v>
      </c>
      <c r="E137" s="3" t="s">
        <v>18</v>
      </c>
      <c r="F137" s="4" t="s">
        <v>25</v>
      </c>
      <c r="G137" s="5">
        <f t="shared" si="4"/>
        <v>11.957950065703001</v>
      </c>
      <c r="H137" s="6">
        <f t="shared" si="5"/>
        <v>0.99649583880858339</v>
      </c>
      <c r="I137" s="3">
        <v>40</v>
      </c>
      <c r="J137" s="3">
        <v>1</v>
      </c>
      <c r="K137" s="3">
        <v>1</v>
      </c>
      <c r="L137" s="3">
        <v>0</v>
      </c>
      <c r="M137" s="3">
        <v>0</v>
      </c>
      <c r="N137" s="3">
        <v>0</v>
      </c>
      <c r="O137" s="3">
        <v>1</v>
      </c>
      <c r="P137" s="3">
        <v>11.957950065703001</v>
      </c>
      <c r="Q137" s="3"/>
      <c r="R137" s="3"/>
    </row>
    <row r="138" spans="1:18" hidden="1" x14ac:dyDescent="0.3">
      <c r="A138" s="3">
        <v>112</v>
      </c>
      <c r="B138" s="3">
        <v>0</v>
      </c>
      <c r="C138" s="3" t="s">
        <v>132</v>
      </c>
      <c r="D138" s="3">
        <v>1</v>
      </c>
      <c r="E138" s="3" t="s">
        <v>83</v>
      </c>
      <c r="F138" s="4" t="s">
        <v>25</v>
      </c>
      <c r="G138" s="5">
        <f t="shared" si="4"/>
        <v>22.634691195795</v>
      </c>
      <c r="H138" s="6">
        <f t="shared" si="5"/>
        <v>1.8862242663162501</v>
      </c>
      <c r="I138" s="3">
        <v>208</v>
      </c>
      <c r="J138" s="3">
        <v>2</v>
      </c>
      <c r="K138" s="3">
        <v>1</v>
      </c>
      <c r="L138" s="3">
        <v>1</v>
      </c>
      <c r="M138" s="3">
        <v>1</v>
      </c>
      <c r="N138" s="3">
        <v>0</v>
      </c>
      <c r="O138" s="3">
        <v>1</v>
      </c>
      <c r="P138" s="3">
        <v>22.634691195795</v>
      </c>
      <c r="Q138" s="3"/>
      <c r="R138" s="3"/>
    </row>
    <row r="139" spans="1:18" x14ac:dyDescent="0.3">
      <c r="A139" s="7">
        <v>113</v>
      </c>
      <c r="B139" s="7">
        <v>6</v>
      </c>
      <c r="C139" s="7" t="s">
        <v>133</v>
      </c>
      <c r="D139" s="7">
        <v>1</v>
      </c>
      <c r="E139" s="7" t="s">
        <v>18</v>
      </c>
      <c r="F139" s="8" t="s">
        <v>25</v>
      </c>
      <c r="G139" s="9">
        <f t="shared" si="4"/>
        <v>6.8988173455978998</v>
      </c>
      <c r="H139" s="6">
        <f t="shared" si="5"/>
        <v>0.57490144546649169</v>
      </c>
      <c r="I139" s="7">
        <v>41</v>
      </c>
      <c r="J139" s="7">
        <v>1</v>
      </c>
      <c r="K139" s="7">
        <v>1</v>
      </c>
      <c r="L139" s="7">
        <v>0</v>
      </c>
      <c r="M139" s="7">
        <v>1</v>
      </c>
      <c r="N139" s="7">
        <v>1</v>
      </c>
      <c r="O139" s="7">
        <v>2</v>
      </c>
      <c r="P139" s="7">
        <v>6.8988173455978998</v>
      </c>
      <c r="Q139" s="7"/>
      <c r="R139" s="7"/>
    </row>
    <row r="140" spans="1:18" x14ac:dyDescent="0.3">
      <c r="A140" s="7">
        <v>113</v>
      </c>
      <c r="B140" s="7">
        <v>6</v>
      </c>
      <c r="C140" s="7" t="s">
        <v>133</v>
      </c>
      <c r="D140" s="7">
        <v>1</v>
      </c>
      <c r="E140" s="7" t="s">
        <v>83</v>
      </c>
      <c r="F140" s="8" t="s">
        <v>25</v>
      </c>
      <c r="G140" s="9">
        <f t="shared" si="4"/>
        <v>20.466491458606999</v>
      </c>
      <c r="H140" s="6">
        <f t="shared" si="5"/>
        <v>1.7055409548839167</v>
      </c>
      <c r="I140" s="7">
        <v>209</v>
      </c>
      <c r="J140" s="7">
        <v>2</v>
      </c>
      <c r="K140" s="7">
        <v>1</v>
      </c>
      <c r="L140" s="7">
        <v>1</v>
      </c>
      <c r="M140" s="7">
        <v>1</v>
      </c>
      <c r="N140" s="7">
        <v>1</v>
      </c>
      <c r="O140" s="7">
        <v>2</v>
      </c>
      <c r="P140" s="7">
        <v>20.466491458606999</v>
      </c>
      <c r="Q140" s="7"/>
      <c r="R140" s="7"/>
    </row>
    <row r="141" spans="1:18" x14ac:dyDescent="0.3">
      <c r="A141" s="3">
        <v>114</v>
      </c>
      <c r="B141" s="3">
        <v>7</v>
      </c>
      <c r="C141" s="3" t="s">
        <v>134</v>
      </c>
      <c r="D141" s="3">
        <v>1</v>
      </c>
      <c r="E141" s="3" t="s">
        <v>18</v>
      </c>
      <c r="F141" s="4" t="s">
        <v>25</v>
      </c>
      <c r="G141" s="5">
        <f t="shared" si="4"/>
        <v>8.2457293035479999</v>
      </c>
      <c r="H141" s="6">
        <f t="shared" si="5"/>
        <v>0.68714410862899999</v>
      </c>
      <c r="I141" s="3">
        <v>47</v>
      </c>
      <c r="J141" s="3">
        <v>1</v>
      </c>
      <c r="K141" s="3">
        <v>1</v>
      </c>
      <c r="L141" s="3">
        <v>0</v>
      </c>
      <c r="M141" s="3">
        <v>1</v>
      </c>
      <c r="N141" s="3">
        <v>1</v>
      </c>
      <c r="O141" s="3">
        <v>1</v>
      </c>
      <c r="P141" s="3">
        <v>7.1944809461235</v>
      </c>
      <c r="Q141" s="3">
        <v>8.2457293035479999</v>
      </c>
      <c r="R141" s="3"/>
    </row>
    <row r="142" spans="1:18" x14ac:dyDescent="0.3">
      <c r="A142" s="3">
        <v>114</v>
      </c>
      <c r="B142" s="3">
        <v>7</v>
      </c>
      <c r="C142" s="3" t="s">
        <v>134</v>
      </c>
      <c r="D142" s="3">
        <v>1</v>
      </c>
      <c r="E142" s="3" t="s">
        <v>83</v>
      </c>
      <c r="F142" s="4" t="s">
        <v>25</v>
      </c>
      <c r="G142" s="5">
        <f t="shared" si="4"/>
        <v>19.546649145861</v>
      </c>
      <c r="H142" s="6">
        <f t="shared" si="5"/>
        <v>1.6288874288217501</v>
      </c>
      <c r="I142" s="3">
        <v>210</v>
      </c>
      <c r="J142" s="3">
        <v>2</v>
      </c>
      <c r="K142" s="3">
        <v>1</v>
      </c>
      <c r="L142" s="3">
        <v>1</v>
      </c>
      <c r="M142" s="3">
        <v>1</v>
      </c>
      <c r="N142" s="3">
        <v>1</v>
      </c>
      <c r="O142" s="3">
        <v>1</v>
      </c>
      <c r="P142" s="3">
        <v>19.546649145861</v>
      </c>
      <c r="Q142" s="3"/>
      <c r="R142" s="3"/>
    </row>
    <row r="143" spans="1:18" x14ac:dyDescent="0.3">
      <c r="A143" s="7">
        <v>115</v>
      </c>
      <c r="B143" s="7">
        <v>8</v>
      </c>
      <c r="C143" s="7" t="s">
        <v>135</v>
      </c>
      <c r="D143" s="7">
        <v>1</v>
      </c>
      <c r="E143" s="7" t="s">
        <v>18</v>
      </c>
      <c r="F143" s="8" t="s">
        <v>25</v>
      </c>
      <c r="G143" s="9">
        <f t="shared" si="4"/>
        <v>11.563731931669</v>
      </c>
      <c r="H143" s="6">
        <f t="shared" si="5"/>
        <v>0.96364432763908336</v>
      </c>
      <c r="I143" s="7">
        <v>50</v>
      </c>
      <c r="J143" s="7">
        <v>1</v>
      </c>
      <c r="K143" s="7">
        <v>1</v>
      </c>
      <c r="L143" s="7">
        <v>0</v>
      </c>
      <c r="M143" s="7">
        <v>1</v>
      </c>
      <c r="N143" s="7">
        <v>1</v>
      </c>
      <c r="O143" s="7">
        <v>2</v>
      </c>
      <c r="P143" s="7">
        <v>11.563731931669</v>
      </c>
      <c r="Q143" s="7"/>
      <c r="R143" s="7"/>
    </row>
    <row r="144" spans="1:18" x14ac:dyDescent="0.3">
      <c r="A144" s="7">
        <v>115</v>
      </c>
      <c r="B144" s="7">
        <v>8</v>
      </c>
      <c r="C144" s="7" t="s">
        <v>135</v>
      </c>
      <c r="D144" s="7">
        <v>1</v>
      </c>
      <c r="E144" s="7" t="s">
        <v>83</v>
      </c>
      <c r="F144" s="8" t="s">
        <v>25</v>
      </c>
      <c r="G144" s="9">
        <f t="shared" si="4"/>
        <v>22.207621550591</v>
      </c>
      <c r="H144" s="6">
        <f t="shared" si="5"/>
        <v>1.8506351292159167</v>
      </c>
      <c r="I144" s="7">
        <v>211</v>
      </c>
      <c r="J144" s="7">
        <v>2</v>
      </c>
      <c r="K144" s="7">
        <v>1</v>
      </c>
      <c r="L144" s="7">
        <v>1</v>
      </c>
      <c r="M144" s="7">
        <v>1</v>
      </c>
      <c r="N144" s="7">
        <v>1</v>
      </c>
      <c r="O144" s="7">
        <v>2</v>
      </c>
      <c r="P144" s="7">
        <v>22.207621550591</v>
      </c>
      <c r="Q144" s="7"/>
      <c r="R144" s="7"/>
    </row>
    <row r="145" spans="1:18" x14ac:dyDescent="0.3">
      <c r="A145" s="10">
        <v>116</v>
      </c>
      <c r="B145" s="10">
        <v>9</v>
      </c>
      <c r="C145" s="10" t="s">
        <v>136</v>
      </c>
      <c r="D145" s="10">
        <v>1</v>
      </c>
      <c r="E145" s="10" t="s">
        <v>18</v>
      </c>
      <c r="F145" s="11" t="s">
        <v>25</v>
      </c>
      <c r="G145" s="12">
        <f t="shared" si="4"/>
        <v>6.5703022339028001</v>
      </c>
      <c r="H145" s="6">
        <f t="shared" si="5"/>
        <v>0.54752518615856671</v>
      </c>
      <c r="I145" s="10">
        <v>51</v>
      </c>
      <c r="J145" s="10">
        <v>1</v>
      </c>
      <c r="K145" s="10">
        <v>1</v>
      </c>
      <c r="L145" s="10">
        <v>0</v>
      </c>
      <c r="M145" s="10">
        <v>1</v>
      </c>
      <c r="N145" s="10">
        <v>1</v>
      </c>
      <c r="O145" s="10">
        <v>3</v>
      </c>
      <c r="P145" s="10">
        <v>5.9461235216819999</v>
      </c>
      <c r="Q145" s="10">
        <v>6.5703022339028001</v>
      </c>
      <c r="R145" s="10"/>
    </row>
    <row r="146" spans="1:18" x14ac:dyDescent="0.3">
      <c r="A146" s="10">
        <v>116</v>
      </c>
      <c r="B146" s="10">
        <v>9</v>
      </c>
      <c r="C146" s="10" t="s">
        <v>136</v>
      </c>
      <c r="D146" s="10">
        <v>1</v>
      </c>
      <c r="E146" s="10" t="s">
        <v>83</v>
      </c>
      <c r="F146" s="11" t="s">
        <v>25</v>
      </c>
      <c r="G146" s="12">
        <f t="shared" si="4"/>
        <v>20.139345159876999</v>
      </c>
      <c r="H146" s="6">
        <f t="shared" si="5"/>
        <v>1.6782787633230833</v>
      </c>
      <c r="I146" s="10">
        <v>212</v>
      </c>
      <c r="J146" s="10">
        <v>2</v>
      </c>
      <c r="K146" s="10">
        <v>1</v>
      </c>
      <c r="L146" s="10">
        <v>1</v>
      </c>
      <c r="M146" s="10">
        <v>1</v>
      </c>
      <c r="N146" s="10">
        <v>1</v>
      </c>
      <c r="O146" s="10">
        <v>3</v>
      </c>
      <c r="P146" s="10">
        <v>18.659658344284001</v>
      </c>
      <c r="Q146" s="10">
        <v>20.139345159876999</v>
      </c>
      <c r="R146" s="10"/>
    </row>
    <row r="147" spans="1:18" hidden="1" x14ac:dyDescent="0.3">
      <c r="A147" s="3">
        <v>117</v>
      </c>
      <c r="B147" s="3">
        <v>0</v>
      </c>
      <c r="C147" s="3" t="s">
        <v>137</v>
      </c>
      <c r="D147" s="3">
        <v>1</v>
      </c>
      <c r="E147" s="3" t="s">
        <v>18</v>
      </c>
      <c r="F147" s="4" t="s">
        <v>25</v>
      </c>
      <c r="G147" s="5">
        <f t="shared" si="4"/>
        <v>4.4678055190538997</v>
      </c>
      <c r="H147" s="6">
        <f t="shared" si="5"/>
        <v>0.37231712658782495</v>
      </c>
      <c r="I147" s="3">
        <v>57</v>
      </c>
      <c r="J147" s="3">
        <v>1</v>
      </c>
      <c r="K147" s="3">
        <v>1</v>
      </c>
      <c r="L147" s="3">
        <v>0</v>
      </c>
      <c r="M147" s="3">
        <v>1</v>
      </c>
      <c r="N147" s="3">
        <v>0</v>
      </c>
      <c r="O147" s="3">
        <v>1</v>
      </c>
      <c r="P147" s="3">
        <v>3.3508541392904001</v>
      </c>
      <c r="Q147" s="3">
        <v>4.4678055190538997</v>
      </c>
      <c r="R147" s="3"/>
    </row>
    <row r="148" spans="1:18" hidden="1" x14ac:dyDescent="0.3">
      <c r="A148" s="3">
        <v>117</v>
      </c>
      <c r="B148" s="3">
        <v>0</v>
      </c>
      <c r="C148" s="3" t="s">
        <v>137</v>
      </c>
      <c r="D148" s="3">
        <v>1</v>
      </c>
      <c r="E148" s="3" t="s">
        <v>83</v>
      </c>
      <c r="F148" s="4" t="s">
        <v>25</v>
      </c>
      <c r="G148" s="5">
        <f t="shared" si="4"/>
        <v>18.101182654401999</v>
      </c>
      <c r="H148" s="6">
        <f t="shared" si="5"/>
        <v>1.5084318878668332</v>
      </c>
      <c r="I148" s="3">
        <v>213</v>
      </c>
      <c r="J148" s="3">
        <v>2</v>
      </c>
      <c r="K148" s="3">
        <v>1</v>
      </c>
      <c r="L148" s="3">
        <v>1</v>
      </c>
      <c r="M148" s="3">
        <v>0</v>
      </c>
      <c r="N148" s="3">
        <v>0</v>
      </c>
      <c r="O148" s="3">
        <v>1</v>
      </c>
      <c r="P148" s="3">
        <v>18.101182654401999</v>
      </c>
      <c r="Q148" s="3"/>
      <c r="R148" s="3"/>
    </row>
    <row r="149" spans="1:18" hidden="1" x14ac:dyDescent="0.3">
      <c r="A149" s="7">
        <v>118</v>
      </c>
      <c r="B149" s="7">
        <v>0</v>
      </c>
      <c r="C149" s="7" t="s">
        <v>138</v>
      </c>
      <c r="D149" s="7">
        <v>1</v>
      </c>
      <c r="E149" s="7" t="s">
        <v>18</v>
      </c>
      <c r="F149" s="8" t="s">
        <v>19</v>
      </c>
      <c r="G149" s="9">
        <f t="shared" si="4"/>
        <v>5.5519053876477997</v>
      </c>
      <c r="H149" s="6">
        <f t="shared" si="5"/>
        <v>0.46265878230398333</v>
      </c>
      <c r="I149" s="7">
        <v>59</v>
      </c>
      <c r="J149" s="7">
        <v>1</v>
      </c>
      <c r="K149" s="7">
        <v>1</v>
      </c>
      <c r="L149" s="7">
        <v>0</v>
      </c>
      <c r="M149" s="7">
        <v>1</v>
      </c>
      <c r="N149" s="7">
        <v>0</v>
      </c>
      <c r="O149" s="7">
        <v>2</v>
      </c>
      <c r="P149" s="7">
        <v>5.5519053876477997</v>
      </c>
      <c r="Q149" s="7"/>
      <c r="R149" s="7"/>
    </row>
    <row r="150" spans="1:18" hidden="1" x14ac:dyDescent="0.3">
      <c r="A150" s="7">
        <v>118</v>
      </c>
      <c r="B150" s="7">
        <v>0</v>
      </c>
      <c r="C150" s="7" t="s">
        <v>138</v>
      </c>
      <c r="D150" s="7">
        <v>1</v>
      </c>
      <c r="E150" s="7" t="s">
        <v>83</v>
      </c>
      <c r="F150" s="8" t="s">
        <v>19</v>
      </c>
      <c r="G150" s="9">
        <f t="shared" si="4"/>
        <v>21.484888304862</v>
      </c>
      <c r="H150" s="6">
        <f t="shared" si="5"/>
        <v>1.7904073587385001</v>
      </c>
      <c r="I150" s="7">
        <v>214</v>
      </c>
      <c r="J150" s="7">
        <v>2</v>
      </c>
      <c r="K150" s="7">
        <v>1</v>
      </c>
      <c r="L150" s="7">
        <v>1</v>
      </c>
      <c r="M150" s="7">
        <v>0</v>
      </c>
      <c r="N150" s="7">
        <v>0</v>
      </c>
      <c r="O150" s="7">
        <v>2</v>
      </c>
      <c r="P150" s="7">
        <v>21.484888304862</v>
      </c>
      <c r="Q150" s="7"/>
      <c r="R150" s="7"/>
    </row>
    <row r="151" spans="1:18" x14ac:dyDescent="0.3">
      <c r="A151" s="10">
        <v>119</v>
      </c>
      <c r="B151" s="10">
        <v>10</v>
      </c>
      <c r="C151" s="10" t="s">
        <v>139</v>
      </c>
      <c r="D151" s="10">
        <v>1</v>
      </c>
      <c r="E151" s="10" t="s">
        <v>18</v>
      </c>
      <c r="F151" s="11" t="s">
        <v>19</v>
      </c>
      <c r="G151" s="12">
        <f t="shared" si="4"/>
        <v>9.3298291721419009</v>
      </c>
      <c r="H151" s="6">
        <f t="shared" si="5"/>
        <v>0.77748576434515837</v>
      </c>
      <c r="I151" s="10">
        <v>61</v>
      </c>
      <c r="J151" s="10">
        <v>1</v>
      </c>
      <c r="K151" s="10">
        <v>1</v>
      </c>
      <c r="L151" s="10">
        <v>0</v>
      </c>
      <c r="M151" s="10">
        <v>1</v>
      </c>
      <c r="N151" s="10">
        <v>1</v>
      </c>
      <c r="O151" s="10">
        <v>3</v>
      </c>
      <c r="P151" s="10">
        <v>9.3298291721419009</v>
      </c>
      <c r="Q151" s="10"/>
      <c r="R151" s="10"/>
    </row>
    <row r="152" spans="1:18" x14ac:dyDescent="0.3">
      <c r="A152" s="10">
        <v>119</v>
      </c>
      <c r="B152" s="10">
        <v>10</v>
      </c>
      <c r="C152" s="10" t="s">
        <v>139</v>
      </c>
      <c r="D152" s="10">
        <v>1</v>
      </c>
      <c r="E152" s="10" t="s">
        <v>83</v>
      </c>
      <c r="F152" s="11" t="s">
        <v>19</v>
      </c>
      <c r="G152" s="12">
        <f t="shared" si="4"/>
        <v>21.320630749014001</v>
      </c>
      <c r="H152" s="6">
        <f t="shared" si="5"/>
        <v>1.7767192290845</v>
      </c>
      <c r="I152" s="10">
        <v>215</v>
      </c>
      <c r="J152" s="10">
        <v>2</v>
      </c>
      <c r="K152" s="10">
        <v>1</v>
      </c>
      <c r="L152" s="10">
        <v>1</v>
      </c>
      <c r="M152" s="10">
        <v>1</v>
      </c>
      <c r="N152" s="10">
        <v>1</v>
      </c>
      <c r="O152" s="10">
        <v>3</v>
      </c>
      <c r="P152" s="10">
        <v>21.320630749014001</v>
      </c>
      <c r="Q152" s="10"/>
      <c r="R152" s="10"/>
    </row>
    <row r="153" spans="1:18" x14ac:dyDescent="0.3">
      <c r="A153" s="3">
        <v>120</v>
      </c>
      <c r="B153" s="3">
        <v>11</v>
      </c>
      <c r="C153" s="3" t="s">
        <v>140</v>
      </c>
      <c r="D153" s="3">
        <v>1</v>
      </c>
      <c r="E153" s="3" t="s">
        <v>18</v>
      </c>
      <c r="F153" s="4" t="s">
        <v>25</v>
      </c>
      <c r="G153" s="5">
        <f t="shared" si="4"/>
        <v>5.9789750328515003</v>
      </c>
      <c r="H153" s="6">
        <f t="shared" si="5"/>
        <v>0.49824791940429169</v>
      </c>
      <c r="I153" s="3">
        <v>63</v>
      </c>
      <c r="J153" s="3">
        <v>1</v>
      </c>
      <c r="K153" s="3">
        <v>1</v>
      </c>
      <c r="L153" s="3">
        <v>0</v>
      </c>
      <c r="M153" s="3">
        <v>1</v>
      </c>
      <c r="N153" s="3">
        <v>1</v>
      </c>
      <c r="O153" s="3">
        <v>1</v>
      </c>
      <c r="P153" s="3">
        <v>5.9789750328515003</v>
      </c>
      <c r="Q153" s="3"/>
      <c r="R153" s="3"/>
    </row>
    <row r="154" spans="1:18" x14ac:dyDescent="0.3">
      <c r="A154" s="3">
        <v>120</v>
      </c>
      <c r="B154" s="3">
        <v>11</v>
      </c>
      <c r="C154" s="3" t="s">
        <v>140</v>
      </c>
      <c r="D154" s="3">
        <v>1</v>
      </c>
      <c r="E154" s="3" t="s">
        <v>83</v>
      </c>
      <c r="F154" s="4" t="s">
        <v>25</v>
      </c>
      <c r="G154" s="5">
        <f t="shared" si="4"/>
        <v>16.524310118264999</v>
      </c>
      <c r="H154" s="6">
        <f t="shared" si="5"/>
        <v>1.3770258431887499</v>
      </c>
      <c r="I154" s="3">
        <v>216</v>
      </c>
      <c r="J154" s="3">
        <v>2</v>
      </c>
      <c r="K154" s="3">
        <v>1</v>
      </c>
      <c r="L154" s="3">
        <v>1</v>
      </c>
      <c r="M154" s="3">
        <v>1</v>
      </c>
      <c r="N154" s="3">
        <v>1</v>
      </c>
      <c r="O154" s="3">
        <v>1</v>
      </c>
      <c r="P154" s="3">
        <v>16.524310118264999</v>
      </c>
      <c r="Q154" s="3"/>
      <c r="R154" s="3"/>
    </row>
    <row r="155" spans="1:18" x14ac:dyDescent="0.3">
      <c r="A155" s="7">
        <v>121</v>
      </c>
      <c r="B155" s="7">
        <v>12</v>
      </c>
      <c r="C155" s="7" t="s">
        <v>141</v>
      </c>
      <c r="D155" s="7">
        <v>1</v>
      </c>
      <c r="E155" s="7" t="s">
        <v>18</v>
      </c>
      <c r="F155" s="8" t="s">
        <v>19</v>
      </c>
      <c r="G155" s="9">
        <f t="shared" si="4"/>
        <v>12.680683311432</v>
      </c>
      <c r="H155" s="6">
        <f t="shared" si="5"/>
        <v>1.056723609286</v>
      </c>
      <c r="I155" s="7">
        <v>65</v>
      </c>
      <c r="J155" s="7">
        <v>1</v>
      </c>
      <c r="K155" s="7">
        <v>1</v>
      </c>
      <c r="L155" s="7">
        <v>0</v>
      </c>
      <c r="M155" s="7">
        <v>1</v>
      </c>
      <c r="N155" s="7">
        <v>1</v>
      </c>
      <c r="O155" s="7">
        <v>2</v>
      </c>
      <c r="P155" s="7">
        <v>12.680683311432</v>
      </c>
      <c r="Q155" s="7"/>
      <c r="R155" s="7"/>
    </row>
    <row r="156" spans="1:18" x14ac:dyDescent="0.3">
      <c r="A156" s="7">
        <v>121</v>
      </c>
      <c r="B156" s="7">
        <v>12</v>
      </c>
      <c r="C156" s="7" t="s">
        <v>141</v>
      </c>
      <c r="D156" s="7">
        <v>1</v>
      </c>
      <c r="E156" s="7" t="s">
        <v>83</v>
      </c>
      <c r="F156" s="8" t="s">
        <v>19</v>
      </c>
      <c r="G156" s="9">
        <f t="shared" si="4"/>
        <v>25.624178712220999</v>
      </c>
      <c r="H156" s="6">
        <f t="shared" si="5"/>
        <v>2.1353482260184165</v>
      </c>
      <c r="I156" s="7">
        <v>217</v>
      </c>
      <c r="J156" s="7">
        <v>2</v>
      </c>
      <c r="K156" s="7">
        <v>1</v>
      </c>
      <c r="L156" s="7">
        <v>1</v>
      </c>
      <c r="M156" s="7">
        <v>1</v>
      </c>
      <c r="N156" s="7">
        <v>1</v>
      </c>
      <c r="O156" s="7">
        <v>2</v>
      </c>
      <c r="P156" s="7">
        <v>25.624178712220999</v>
      </c>
      <c r="Q156" s="7"/>
      <c r="R156" s="7"/>
    </row>
    <row r="157" spans="1:18" x14ac:dyDescent="0.3">
      <c r="A157" s="10">
        <v>122</v>
      </c>
      <c r="B157" s="10">
        <v>13</v>
      </c>
      <c r="C157" s="10" t="s">
        <v>142</v>
      </c>
      <c r="D157" s="10">
        <v>1</v>
      </c>
      <c r="E157" s="10" t="s">
        <v>18</v>
      </c>
      <c r="F157" s="11" t="s">
        <v>19</v>
      </c>
      <c r="G157" s="12">
        <f t="shared" si="4"/>
        <v>7.3587385019711</v>
      </c>
      <c r="H157" s="6">
        <f t="shared" si="5"/>
        <v>0.61322820849759163</v>
      </c>
      <c r="I157" s="10">
        <v>67</v>
      </c>
      <c r="J157" s="10">
        <v>1</v>
      </c>
      <c r="K157" s="10">
        <v>1</v>
      </c>
      <c r="L157" s="10">
        <v>0</v>
      </c>
      <c r="M157" s="10">
        <v>1</v>
      </c>
      <c r="N157" s="10">
        <v>1</v>
      </c>
      <c r="O157" s="10">
        <v>3</v>
      </c>
      <c r="P157" s="10">
        <v>7.3587385019711</v>
      </c>
      <c r="Q157" s="10"/>
      <c r="R157" s="10"/>
    </row>
    <row r="158" spans="1:18" x14ac:dyDescent="0.3">
      <c r="A158" s="10">
        <v>122</v>
      </c>
      <c r="B158" s="10">
        <v>13</v>
      </c>
      <c r="C158" s="10" t="s">
        <v>142</v>
      </c>
      <c r="D158" s="10">
        <v>1</v>
      </c>
      <c r="E158" s="10" t="s">
        <v>83</v>
      </c>
      <c r="F158" s="11" t="s">
        <v>19</v>
      </c>
      <c r="G158" s="12">
        <f t="shared" si="4"/>
        <v>19.086727989488001</v>
      </c>
      <c r="H158" s="6">
        <f t="shared" si="5"/>
        <v>1.5905606657906668</v>
      </c>
      <c r="I158" s="10">
        <v>218</v>
      </c>
      <c r="J158" s="10">
        <v>2</v>
      </c>
      <c r="K158" s="10">
        <v>1</v>
      </c>
      <c r="L158" s="10">
        <v>1</v>
      </c>
      <c r="M158" s="10">
        <v>1</v>
      </c>
      <c r="N158" s="10">
        <v>1</v>
      </c>
      <c r="O158" s="10">
        <v>3</v>
      </c>
      <c r="P158" s="10">
        <v>18.626806833113999</v>
      </c>
      <c r="Q158" s="10">
        <v>19.086727989488001</v>
      </c>
      <c r="R158" s="10"/>
    </row>
    <row r="159" spans="1:18" hidden="1" x14ac:dyDescent="0.3">
      <c r="A159" s="3">
        <v>123</v>
      </c>
      <c r="B159" s="3">
        <v>0</v>
      </c>
      <c r="C159" s="3" t="s">
        <v>143</v>
      </c>
      <c r="D159" s="3">
        <v>1</v>
      </c>
      <c r="E159" s="3" t="s">
        <v>18</v>
      </c>
      <c r="F159" s="4" t="s">
        <v>19</v>
      </c>
      <c r="G159" s="5">
        <f t="shared" si="4"/>
        <v>0</v>
      </c>
      <c r="H159" s="6">
        <f t="shared" si="5"/>
        <v>0</v>
      </c>
      <c r="I159" s="3">
        <v>69</v>
      </c>
      <c r="J159" s="3">
        <v>1</v>
      </c>
      <c r="K159" s="3">
        <v>1</v>
      </c>
      <c r="L159" s="3">
        <v>0</v>
      </c>
      <c r="M159" s="3">
        <v>0</v>
      </c>
      <c r="N159" s="3">
        <v>0</v>
      </c>
      <c r="O159" s="3">
        <v>1</v>
      </c>
      <c r="P159" s="3"/>
      <c r="Q159" s="3"/>
      <c r="R159" s="3"/>
    </row>
    <row r="160" spans="1:18" hidden="1" x14ac:dyDescent="0.3">
      <c r="A160" s="3">
        <v>123</v>
      </c>
      <c r="B160" s="3">
        <v>0</v>
      </c>
      <c r="C160" s="3" t="s">
        <v>143</v>
      </c>
      <c r="D160" s="3">
        <v>1</v>
      </c>
      <c r="E160" s="3" t="s">
        <v>83</v>
      </c>
      <c r="F160" s="4" t="s">
        <v>19</v>
      </c>
      <c r="G160" s="5">
        <f t="shared" si="4"/>
        <v>21.057818659658</v>
      </c>
      <c r="H160" s="6">
        <f t="shared" si="5"/>
        <v>1.7548182216381667</v>
      </c>
      <c r="I160" s="3">
        <v>219</v>
      </c>
      <c r="J160" s="3">
        <v>2</v>
      </c>
      <c r="K160" s="3">
        <v>1</v>
      </c>
      <c r="L160" s="3">
        <v>1</v>
      </c>
      <c r="M160" s="3">
        <v>1</v>
      </c>
      <c r="N160" s="3">
        <v>0</v>
      </c>
      <c r="O160" s="3">
        <v>1</v>
      </c>
      <c r="P160" s="3">
        <v>21.057818659658</v>
      </c>
      <c r="Q160" s="3"/>
      <c r="R160" s="3"/>
    </row>
    <row r="161" spans="1:18" hidden="1" x14ac:dyDescent="0.3">
      <c r="A161" s="7">
        <v>124</v>
      </c>
      <c r="B161" s="7">
        <v>0</v>
      </c>
      <c r="C161" s="7" t="s">
        <v>144</v>
      </c>
      <c r="D161" s="7">
        <v>1</v>
      </c>
      <c r="E161" s="7" t="s">
        <v>18</v>
      </c>
      <c r="F161" s="8" t="s">
        <v>19</v>
      </c>
      <c r="G161" s="9">
        <f t="shared" si="4"/>
        <v>11.727989487516</v>
      </c>
      <c r="H161" s="6">
        <f t="shared" si="5"/>
        <v>0.977332457293</v>
      </c>
      <c r="I161" s="7">
        <v>71</v>
      </c>
      <c r="J161" s="7">
        <v>1</v>
      </c>
      <c r="K161" s="7">
        <v>1</v>
      </c>
      <c r="L161" s="7">
        <v>0</v>
      </c>
      <c r="M161" s="7">
        <v>1</v>
      </c>
      <c r="N161" s="7">
        <v>0</v>
      </c>
      <c r="O161" s="7">
        <v>2</v>
      </c>
      <c r="P161" s="7">
        <v>11.727989487516</v>
      </c>
      <c r="Q161" s="7"/>
      <c r="R161" s="7"/>
    </row>
    <row r="162" spans="1:18" hidden="1" x14ac:dyDescent="0.3">
      <c r="A162" s="7">
        <v>124</v>
      </c>
      <c r="B162" s="7">
        <v>0</v>
      </c>
      <c r="C162" s="7" t="s">
        <v>144</v>
      </c>
      <c r="D162" s="7">
        <v>1</v>
      </c>
      <c r="E162" s="7" t="s">
        <v>83</v>
      </c>
      <c r="F162" s="8" t="s">
        <v>19</v>
      </c>
      <c r="G162" s="9">
        <f t="shared" si="4"/>
        <v>21.057818659658</v>
      </c>
      <c r="H162" s="6">
        <f t="shared" si="5"/>
        <v>1.7548182216381667</v>
      </c>
      <c r="I162" s="7">
        <v>220</v>
      </c>
      <c r="J162" s="7">
        <v>2</v>
      </c>
      <c r="K162" s="7">
        <v>1</v>
      </c>
      <c r="L162" s="7">
        <v>1</v>
      </c>
      <c r="M162" s="7">
        <v>0</v>
      </c>
      <c r="N162" s="7">
        <v>0</v>
      </c>
      <c r="O162" s="7">
        <v>2</v>
      </c>
      <c r="P162" s="7">
        <v>20.367936925098999</v>
      </c>
      <c r="Q162" s="7">
        <v>21.057818659658</v>
      </c>
      <c r="R162" s="7"/>
    </row>
    <row r="163" spans="1:18" x14ac:dyDescent="0.3">
      <c r="A163" s="10">
        <v>125</v>
      </c>
      <c r="B163" s="10">
        <v>14</v>
      </c>
      <c r="C163" s="10" t="s">
        <v>145</v>
      </c>
      <c r="D163" s="10">
        <v>1</v>
      </c>
      <c r="E163" s="10" t="s">
        <v>18</v>
      </c>
      <c r="F163" s="11" t="s">
        <v>25</v>
      </c>
      <c r="G163" s="12">
        <f t="shared" si="4"/>
        <v>11.300919842313</v>
      </c>
      <c r="H163" s="6">
        <f t="shared" si="5"/>
        <v>0.94174332019274998</v>
      </c>
      <c r="I163" s="10">
        <v>72</v>
      </c>
      <c r="J163" s="10">
        <v>1</v>
      </c>
      <c r="K163" s="10">
        <v>1</v>
      </c>
      <c r="L163" s="10">
        <v>0</v>
      </c>
      <c r="M163" s="10">
        <v>1</v>
      </c>
      <c r="N163" s="10">
        <v>1</v>
      </c>
      <c r="O163" s="10">
        <v>3</v>
      </c>
      <c r="P163" s="10">
        <v>11.300919842313</v>
      </c>
      <c r="Q163" s="10"/>
      <c r="R163" s="10"/>
    </row>
    <row r="164" spans="1:18" x14ac:dyDescent="0.3">
      <c r="A164" s="10">
        <v>125</v>
      </c>
      <c r="B164" s="10">
        <v>14</v>
      </c>
      <c r="C164" s="10" t="s">
        <v>145</v>
      </c>
      <c r="D164" s="10">
        <v>1</v>
      </c>
      <c r="E164" s="10" t="s">
        <v>83</v>
      </c>
      <c r="F164" s="11" t="s">
        <v>25</v>
      </c>
      <c r="G164" s="12">
        <f t="shared" si="4"/>
        <v>19.810830048182002</v>
      </c>
      <c r="H164" s="6">
        <f t="shared" si="5"/>
        <v>1.6509025040151668</v>
      </c>
      <c r="I164" s="10">
        <v>221</v>
      </c>
      <c r="J164" s="10">
        <v>2</v>
      </c>
      <c r="K164" s="10">
        <v>1</v>
      </c>
      <c r="L164" s="10">
        <v>1</v>
      </c>
      <c r="M164" s="10">
        <v>1</v>
      </c>
      <c r="N164" s="10">
        <v>1</v>
      </c>
      <c r="O164" s="10">
        <v>3</v>
      </c>
      <c r="P164" s="10">
        <v>19.810830048182002</v>
      </c>
      <c r="Q164" s="10"/>
      <c r="R164" s="10"/>
    </row>
    <row r="165" spans="1:18" x14ac:dyDescent="0.3">
      <c r="A165" s="3">
        <v>126</v>
      </c>
      <c r="B165" s="3">
        <v>15</v>
      </c>
      <c r="C165" s="3" t="s">
        <v>146</v>
      </c>
      <c r="D165" s="3">
        <v>1</v>
      </c>
      <c r="E165" s="3" t="s">
        <v>18</v>
      </c>
      <c r="F165" s="4" t="s">
        <v>19</v>
      </c>
      <c r="G165" s="5">
        <f t="shared" si="4"/>
        <v>12.516425755585001</v>
      </c>
      <c r="H165" s="6">
        <f t="shared" si="5"/>
        <v>1.0430354796320833</v>
      </c>
      <c r="I165" s="3">
        <v>74</v>
      </c>
      <c r="J165" s="3">
        <v>1</v>
      </c>
      <c r="K165" s="3">
        <v>1</v>
      </c>
      <c r="L165" s="3">
        <v>0</v>
      </c>
      <c r="M165" s="3">
        <v>1</v>
      </c>
      <c r="N165" s="3">
        <v>1</v>
      </c>
      <c r="O165" s="3">
        <v>1</v>
      </c>
      <c r="P165" s="3">
        <v>12.516425755585001</v>
      </c>
      <c r="Q165" s="3"/>
      <c r="R165" s="3"/>
    </row>
    <row r="166" spans="1:18" x14ac:dyDescent="0.3">
      <c r="A166" s="3">
        <v>126</v>
      </c>
      <c r="B166" s="3">
        <v>15</v>
      </c>
      <c r="C166" s="3" t="s">
        <v>146</v>
      </c>
      <c r="D166" s="3">
        <v>1</v>
      </c>
      <c r="E166" s="3" t="s">
        <v>83</v>
      </c>
      <c r="F166" s="4" t="s">
        <v>19</v>
      </c>
      <c r="G166" s="5">
        <f t="shared" si="4"/>
        <v>21.057818659658</v>
      </c>
      <c r="H166" s="6">
        <f t="shared" si="5"/>
        <v>1.7548182216381667</v>
      </c>
      <c r="I166" s="3">
        <v>222</v>
      </c>
      <c r="J166" s="3">
        <v>2</v>
      </c>
      <c r="K166" s="3">
        <v>1</v>
      </c>
      <c r="L166" s="3">
        <v>1</v>
      </c>
      <c r="M166" s="3">
        <v>1</v>
      </c>
      <c r="N166" s="3">
        <v>1</v>
      </c>
      <c r="O166" s="3">
        <v>1</v>
      </c>
      <c r="P166" s="3">
        <v>21.057818659658</v>
      </c>
      <c r="Q166" s="3"/>
      <c r="R166" s="3"/>
    </row>
    <row r="167" spans="1:18" hidden="1" x14ac:dyDescent="0.3">
      <c r="A167" s="7">
        <v>127</v>
      </c>
      <c r="B167" s="7">
        <v>0</v>
      </c>
      <c r="C167" s="7" t="s">
        <v>147</v>
      </c>
      <c r="D167" s="7">
        <v>1</v>
      </c>
      <c r="E167" s="7" t="s">
        <v>18</v>
      </c>
      <c r="F167" s="8" t="s">
        <v>25</v>
      </c>
      <c r="G167" s="9">
        <f t="shared" si="4"/>
        <v>7.9500657030223003</v>
      </c>
      <c r="H167" s="6">
        <f t="shared" si="5"/>
        <v>0.66250547525185832</v>
      </c>
      <c r="I167" s="7">
        <v>76</v>
      </c>
      <c r="J167" s="7">
        <v>1</v>
      </c>
      <c r="K167" s="7">
        <v>1</v>
      </c>
      <c r="L167" s="7">
        <v>0</v>
      </c>
      <c r="M167" s="7">
        <v>1</v>
      </c>
      <c r="N167" s="7">
        <v>0</v>
      </c>
      <c r="O167" s="7">
        <v>2</v>
      </c>
      <c r="P167" s="7">
        <v>7.9500657030223003</v>
      </c>
      <c r="Q167" s="7"/>
      <c r="R167" s="7"/>
    </row>
    <row r="168" spans="1:18" hidden="1" x14ac:dyDescent="0.3">
      <c r="A168" s="7">
        <v>127</v>
      </c>
      <c r="B168" s="7">
        <v>0</v>
      </c>
      <c r="C168" s="7" t="s">
        <v>147</v>
      </c>
      <c r="D168" s="7">
        <v>1</v>
      </c>
      <c r="E168" s="7" t="s">
        <v>83</v>
      </c>
      <c r="F168" s="8" t="s">
        <v>25</v>
      </c>
      <c r="G168" s="9">
        <f t="shared" si="4"/>
        <v>24.737187910644</v>
      </c>
      <c r="H168" s="6">
        <f t="shared" si="5"/>
        <v>2.061432325887</v>
      </c>
      <c r="I168" s="7">
        <v>223</v>
      </c>
      <c r="J168" s="7">
        <v>2</v>
      </c>
      <c r="K168" s="7">
        <v>1</v>
      </c>
      <c r="L168" s="7">
        <v>1</v>
      </c>
      <c r="M168" s="7">
        <v>0</v>
      </c>
      <c r="N168" s="7">
        <v>0</v>
      </c>
      <c r="O168" s="7">
        <v>2</v>
      </c>
      <c r="P168" s="7">
        <v>24.737187910644</v>
      </c>
      <c r="Q168" s="7"/>
      <c r="R168" s="7"/>
    </row>
    <row r="169" spans="1:18" hidden="1" x14ac:dyDescent="0.3">
      <c r="A169" s="10">
        <v>128</v>
      </c>
      <c r="B169" s="10">
        <v>0</v>
      </c>
      <c r="C169" s="10" t="s">
        <v>148</v>
      </c>
      <c r="D169" s="10">
        <v>1</v>
      </c>
      <c r="E169" s="10" t="s">
        <v>18</v>
      </c>
      <c r="F169" s="11" t="s">
        <v>19</v>
      </c>
      <c r="G169" s="12">
        <f t="shared" si="4"/>
        <v>0</v>
      </c>
      <c r="H169" s="6">
        <f t="shared" si="5"/>
        <v>0</v>
      </c>
      <c r="I169" s="10">
        <v>78</v>
      </c>
      <c r="J169" s="10">
        <v>1</v>
      </c>
      <c r="K169" s="10">
        <v>1</v>
      </c>
      <c r="L169" s="10">
        <v>0</v>
      </c>
      <c r="M169" s="10">
        <v>0</v>
      </c>
      <c r="N169" s="10">
        <v>0</v>
      </c>
      <c r="O169" s="10">
        <v>3</v>
      </c>
      <c r="P169" s="10"/>
      <c r="Q169" s="10"/>
      <c r="R169" s="10"/>
    </row>
    <row r="170" spans="1:18" hidden="1" x14ac:dyDescent="0.3">
      <c r="A170" s="10">
        <v>128</v>
      </c>
      <c r="B170" s="10">
        <v>0</v>
      </c>
      <c r="C170" s="10" t="s">
        <v>148</v>
      </c>
      <c r="D170" s="10">
        <v>1</v>
      </c>
      <c r="E170" s="10" t="s">
        <v>83</v>
      </c>
      <c r="F170" s="11" t="s">
        <v>19</v>
      </c>
      <c r="G170" s="12">
        <f t="shared" si="4"/>
        <v>19.349540078844001</v>
      </c>
      <c r="H170" s="6">
        <f t="shared" si="5"/>
        <v>1.6124616732370001</v>
      </c>
      <c r="I170" s="10">
        <v>224</v>
      </c>
      <c r="J170" s="10">
        <v>2</v>
      </c>
      <c r="K170" s="10">
        <v>1</v>
      </c>
      <c r="L170" s="10">
        <v>1</v>
      </c>
      <c r="M170" s="10">
        <v>0</v>
      </c>
      <c r="N170" s="10">
        <v>0</v>
      </c>
      <c r="O170" s="10">
        <v>3</v>
      </c>
      <c r="P170" s="10">
        <v>18.856767411301</v>
      </c>
      <c r="Q170" s="10">
        <v>19.349540078844001</v>
      </c>
      <c r="R170" s="10"/>
    </row>
    <row r="171" spans="1:18" hidden="1" x14ac:dyDescent="0.3">
      <c r="A171" s="3">
        <v>129</v>
      </c>
      <c r="B171" s="3">
        <v>0</v>
      </c>
      <c r="C171" s="3" t="s">
        <v>149</v>
      </c>
      <c r="D171" s="3">
        <v>1</v>
      </c>
      <c r="E171" s="3" t="s">
        <v>18</v>
      </c>
      <c r="F171" s="4" t="s">
        <v>25</v>
      </c>
      <c r="G171" s="5">
        <f t="shared" si="4"/>
        <v>0</v>
      </c>
      <c r="H171" s="6">
        <f t="shared" si="5"/>
        <v>0</v>
      </c>
      <c r="I171" s="3">
        <v>80</v>
      </c>
      <c r="J171" s="3">
        <v>1</v>
      </c>
      <c r="K171" s="3">
        <v>1</v>
      </c>
      <c r="L171" s="3">
        <v>0</v>
      </c>
      <c r="M171" s="3">
        <v>0</v>
      </c>
      <c r="N171" s="3">
        <v>0</v>
      </c>
      <c r="O171" s="3">
        <v>1</v>
      </c>
      <c r="P171" s="3"/>
      <c r="Q171" s="3"/>
      <c r="R171" s="3"/>
    </row>
    <row r="172" spans="1:18" hidden="1" x14ac:dyDescent="0.3">
      <c r="A172" s="3">
        <v>129</v>
      </c>
      <c r="B172" s="3">
        <v>0</v>
      </c>
      <c r="C172" s="3" t="s">
        <v>149</v>
      </c>
      <c r="D172" s="3">
        <v>1</v>
      </c>
      <c r="E172" s="3" t="s">
        <v>83</v>
      </c>
      <c r="F172" s="4" t="s">
        <v>25</v>
      </c>
      <c r="G172" s="5">
        <f t="shared" si="4"/>
        <v>15.177398160315001</v>
      </c>
      <c r="H172" s="6">
        <f t="shared" si="5"/>
        <v>1.2647831800262501</v>
      </c>
      <c r="I172" s="3">
        <v>225</v>
      </c>
      <c r="J172" s="3">
        <v>2</v>
      </c>
      <c r="K172" s="3">
        <v>1</v>
      </c>
      <c r="L172" s="3">
        <v>1</v>
      </c>
      <c r="M172" s="3">
        <v>0</v>
      </c>
      <c r="N172" s="3">
        <v>0</v>
      </c>
      <c r="O172" s="3">
        <v>1</v>
      </c>
      <c r="P172" s="3">
        <v>15.177398160315001</v>
      </c>
      <c r="Q172" s="3"/>
      <c r="R172" s="3"/>
    </row>
    <row r="173" spans="1:18" hidden="1" x14ac:dyDescent="0.3">
      <c r="A173" s="7">
        <v>130</v>
      </c>
      <c r="B173" s="7">
        <v>0</v>
      </c>
      <c r="C173" s="7" t="s">
        <v>150</v>
      </c>
      <c r="D173" s="7">
        <v>1</v>
      </c>
      <c r="E173" s="7" t="s">
        <v>18</v>
      </c>
      <c r="F173" s="8" t="s">
        <v>19</v>
      </c>
      <c r="G173" s="9">
        <f t="shared" si="4"/>
        <v>0</v>
      </c>
      <c r="H173" s="6">
        <f t="shared" si="5"/>
        <v>0</v>
      </c>
      <c r="I173" s="7">
        <v>87</v>
      </c>
      <c r="J173" s="7">
        <v>1</v>
      </c>
      <c r="K173" s="7">
        <v>1</v>
      </c>
      <c r="L173" s="7">
        <v>0</v>
      </c>
      <c r="M173" s="7">
        <v>0</v>
      </c>
      <c r="N173" s="7">
        <v>0</v>
      </c>
      <c r="O173" s="7">
        <v>2</v>
      </c>
      <c r="P173" s="7"/>
      <c r="Q173" s="7"/>
      <c r="R173" s="7"/>
    </row>
    <row r="174" spans="1:18" hidden="1" x14ac:dyDescent="0.3">
      <c r="A174" s="7">
        <v>130</v>
      </c>
      <c r="B174" s="7">
        <v>0</v>
      </c>
      <c r="C174" s="7" t="s">
        <v>150</v>
      </c>
      <c r="D174" s="7">
        <v>1</v>
      </c>
      <c r="E174" s="7" t="s">
        <v>83</v>
      </c>
      <c r="F174" s="8" t="s">
        <v>19</v>
      </c>
      <c r="G174" s="9">
        <f t="shared" si="4"/>
        <v>15.078843626807</v>
      </c>
      <c r="H174" s="6">
        <f t="shared" si="5"/>
        <v>1.2565703022339167</v>
      </c>
      <c r="I174" s="7">
        <v>226</v>
      </c>
      <c r="J174" s="7">
        <v>2</v>
      </c>
      <c r="K174" s="7">
        <v>1</v>
      </c>
      <c r="L174" s="7">
        <v>1</v>
      </c>
      <c r="M174" s="7">
        <v>0</v>
      </c>
      <c r="N174" s="7">
        <v>0</v>
      </c>
      <c r="O174" s="7">
        <v>2</v>
      </c>
      <c r="P174" s="7">
        <v>15.078843626807</v>
      </c>
      <c r="Q174" s="7"/>
      <c r="R174" s="7"/>
    </row>
    <row r="175" spans="1:18" hidden="1" x14ac:dyDescent="0.3">
      <c r="A175" s="10">
        <v>131</v>
      </c>
      <c r="B175" s="10">
        <v>0</v>
      </c>
      <c r="C175" s="10" t="s">
        <v>151</v>
      </c>
      <c r="D175" s="10">
        <v>1</v>
      </c>
      <c r="E175" s="10" t="s">
        <v>18</v>
      </c>
      <c r="F175" s="11" t="s">
        <v>25</v>
      </c>
      <c r="G175" s="12">
        <f t="shared" si="4"/>
        <v>4.5992115637318998</v>
      </c>
      <c r="H175" s="6">
        <f t="shared" si="5"/>
        <v>0.38326763031099165</v>
      </c>
      <c r="I175" s="10">
        <v>88</v>
      </c>
      <c r="J175" s="10">
        <v>1</v>
      </c>
      <c r="K175" s="10">
        <v>1</v>
      </c>
      <c r="L175" s="10">
        <v>0</v>
      </c>
      <c r="M175" s="10">
        <v>1</v>
      </c>
      <c r="N175" s="10">
        <v>0</v>
      </c>
      <c r="O175" s="10">
        <v>3</v>
      </c>
      <c r="P175" s="10">
        <v>4.5992115637318998</v>
      </c>
      <c r="Q175" s="10"/>
      <c r="R175" s="10"/>
    </row>
    <row r="176" spans="1:18" hidden="1" x14ac:dyDescent="0.3">
      <c r="A176" s="10">
        <v>131</v>
      </c>
      <c r="B176" s="10">
        <v>0</v>
      </c>
      <c r="C176" s="10" t="s">
        <v>151</v>
      </c>
      <c r="D176" s="10">
        <v>1</v>
      </c>
      <c r="E176" s="10" t="s">
        <v>83</v>
      </c>
      <c r="F176" s="11" t="s">
        <v>25</v>
      </c>
      <c r="G176" s="12">
        <f t="shared" si="4"/>
        <v>22.371879106439</v>
      </c>
      <c r="H176" s="6">
        <f t="shared" si="5"/>
        <v>1.8643232588699166</v>
      </c>
      <c r="I176" s="10">
        <v>227</v>
      </c>
      <c r="J176" s="10">
        <v>2</v>
      </c>
      <c r="K176" s="10">
        <v>1</v>
      </c>
      <c r="L176" s="10">
        <v>1</v>
      </c>
      <c r="M176" s="10">
        <v>0</v>
      </c>
      <c r="N176" s="10">
        <v>0</v>
      </c>
      <c r="O176" s="10">
        <v>3</v>
      </c>
      <c r="P176" s="10">
        <v>18.725361366623002</v>
      </c>
      <c r="Q176" s="10">
        <v>22.371879106439</v>
      </c>
      <c r="R176" s="10"/>
    </row>
    <row r="177" spans="1:18" hidden="1" x14ac:dyDescent="0.3">
      <c r="A177" s="3">
        <v>132</v>
      </c>
      <c r="B177" s="3">
        <v>0</v>
      </c>
      <c r="C177" s="3" t="s">
        <v>152</v>
      </c>
      <c r="D177" s="3">
        <v>1</v>
      </c>
      <c r="E177" s="3" t="s">
        <v>18</v>
      </c>
      <c r="F177" s="4" t="s">
        <v>19</v>
      </c>
      <c r="G177" s="5">
        <f t="shared" si="4"/>
        <v>5.5847568988173002</v>
      </c>
      <c r="H177" s="6">
        <f t="shared" si="5"/>
        <v>0.46539640823477502</v>
      </c>
      <c r="I177" s="3">
        <v>94</v>
      </c>
      <c r="J177" s="3">
        <v>1</v>
      </c>
      <c r="K177" s="3">
        <v>1</v>
      </c>
      <c r="L177" s="3">
        <v>0</v>
      </c>
      <c r="M177" s="3">
        <v>1</v>
      </c>
      <c r="N177" s="3">
        <v>0</v>
      </c>
      <c r="O177" s="3">
        <v>1</v>
      </c>
      <c r="P177" s="3">
        <v>5.5847568988173002</v>
      </c>
      <c r="Q177" s="3"/>
      <c r="R177" s="3"/>
    </row>
    <row r="178" spans="1:18" hidden="1" x14ac:dyDescent="0.3">
      <c r="A178" s="3">
        <v>132</v>
      </c>
      <c r="B178" s="3">
        <v>0</v>
      </c>
      <c r="C178" s="3" t="s">
        <v>152</v>
      </c>
      <c r="D178" s="3">
        <v>1</v>
      </c>
      <c r="E178" s="3" t="s">
        <v>83</v>
      </c>
      <c r="F178" s="4" t="s">
        <v>19</v>
      </c>
      <c r="G178" s="5">
        <f t="shared" si="4"/>
        <v>18.363994743757999</v>
      </c>
      <c r="H178" s="6">
        <f t="shared" si="5"/>
        <v>1.5303328953131665</v>
      </c>
      <c r="I178" s="3">
        <v>228</v>
      </c>
      <c r="J178" s="3">
        <v>2</v>
      </c>
      <c r="K178" s="3">
        <v>1</v>
      </c>
      <c r="L178" s="3">
        <v>1</v>
      </c>
      <c r="M178" s="3">
        <v>0</v>
      </c>
      <c r="N178" s="3">
        <v>0</v>
      </c>
      <c r="O178" s="3">
        <v>1</v>
      </c>
      <c r="P178" s="3">
        <v>17.772667542707001</v>
      </c>
      <c r="Q178" s="3">
        <v>18.363994743757999</v>
      </c>
      <c r="R178" s="3"/>
    </row>
    <row r="179" spans="1:18" hidden="1" x14ac:dyDescent="0.3">
      <c r="A179" s="7">
        <v>133</v>
      </c>
      <c r="B179" s="7">
        <v>0</v>
      </c>
      <c r="C179" s="7" t="s">
        <v>153</v>
      </c>
      <c r="D179" s="7">
        <v>1</v>
      </c>
      <c r="E179" s="7" t="s">
        <v>18</v>
      </c>
      <c r="F179" s="8" t="s">
        <v>19</v>
      </c>
      <c r="G179" s="9">
        <f t="shared" si="4"/>
        <v>8.6070959264125992</v>
      </c>
      <c r="H179" s="6">
        <f t="shared" si="5"/>
        <v>0.7172579938677166</v>
      </c>
      <c r="I179" s="7">
        <v>95</v>
      </c>
      <c r="J179" s="7">
        <v>1</v>
      </c>
      <c r="K179" s="7">
        <v>1</v>
      </c>
      <c r="L179" s="7">
        <v>0</v>
      </c>
      <c r="M179" s="7">
        <v>0</v>
      </c>
      <c r="N179" s="7">
        <v>0</v>
      </c>
      <c r="O179" s="7">
        <v>2</v>
      </c>
      <c r="P179" s="7">
        <v>8.1786574682435003</v>
      </c>
      <c r="Q179" s="7">
        <v>8.6070959264125992</v>
      </c>
      <c r="R179" s="7"/>
    </row>
    <row r="180" spans="1:18" hidden="1" x14ac:dyDescent="0.3">
      <c r="A180" s="7">
        <v>133</v>
      </c>
      <c r="B180" s="7">
        <v>0</v>
      </c>
      <c r="C180" s="7" t="s">
        <v>153</v>
      </c>
      <c r="D180" s="7">
        <v>1</v>
      </c>
      <c r="E180" s="7" t="s">
        <v>83</v>
      </c>
      <c r="F180" s="8" t="s">
        <v>19</v>
      </c>
      <c r="G180" s="9">
        <f t="shared" si="4"/>
        <v>17.114268506350999</v>
      </c>
      <c r="H180" s="6">
        <f t="shared" si="5"/>
        <v>1.4261890421959167</v>
      </c>
      <c r="I180" s="7">
        <v>229</v>
      </c>
      <c r="J180" s="7">
        <v>2</v>
      </c>
      <c r="K180" s="7">
        <v>1</v>
      </c>
      <c r="L180" s="7">
        <v>1</v>
      </c>
      <c r="M180" s="7">
        <v>1</v>
      </c>
      <c r="N180" s="7">
        <v>0</v>
      </c>
      <c r="O180" s="7">
        <v>2</v>
      </c>
      <c r="P180" s="7">
        <v>17.114268506350999</v>
      </c>
      <c r="Q180" s="7"/>
      <c r="R180" s="7"/>
    </row>
    <row r="181" spans="1:18" hidden="1" x14ac:dyDescent="0.3">
      <c r="A181" s="10">
        <v>134</v>
      </c>
      <c r="B181" s="10">
        <v>0</v>
      </c>
      <c r="C181" s="10" t="s">
        <v>154</v>
      </c>
      <c r="D181" s="10">
        <v>1</v>
      </c>
      <c r="E181" s="10" t="s">
        <v>18</v>
      </c>
      <c r="F181" s="11" t="s">
        <v>19</v>
      </c>
      <c r="G181" s="12">
        <f t="shared" si="4"/>
        <v>4.5663600525624002</v>
      </c>
      <c r="H181" s="6">
        <f t="shared" si="5"/>
        <v>0.38053000438020002</v>
      </c>
      <c r="I181" s="10">
        <v>98</v>
      </c>
      <c r="J181" s="10">
        <v>1</v>
      </c>
      <c r="K181" s="10">
        <v>1</v>
      </c>
      <c r="L181" s="10">
        <v>0</v>
      </c>
      <c r="M181" s="10">
        <v>1</v>
      </c>
      <c r="N181" s="10">
        <v>0</v>
      </c>
      <c r="O181" s="10">
        <v>3</v>
      </c>
      <c r="P181" s="10">
        <v>4.5663600525624002</v>
      </c>
      <c r="Q181" s="10"/>
      <c r="R181" s="10"/>
    </row>
    <row r="182" spans="1:18" hidden="1" x14ac:dyDescent="0.3">
      <c r="A182" s="10">
        <v>134</v>
      </c>
      <c r="B182" s="10">
        <v>0</v>
      </c>
      <c r="C182" s="10" t="s">
        <v>154</v>
      </c>
      <c r="D182" s="10">
        <v>1</v>
      </c>
      <c r="E182" s="10" t="s">
        <v>83</v>
      </c>
      <c r="F182" s="11" t="s">
        <v>19</v>
      </c>
      <c r="G182" s="12">
        <f t="shared" si="4"/>
        <v>21.287779237845001</v>
      </c>
      <c r="H182" s="6">
        <f t="shared" si="5"/>
        <v>1.7739816031537501</v>
      </c>
      <c r="I182" s="10">
        <v>230</v>
      </c>
      <c r="J182" s="10">
        <v>2</v>
      </c>
      <c r="K182" s="10">
        <v>1</v>
      </c>
      <c r="L182" s="10">
        <v>1</v>
      </c>
      <c r="M182" s="10">
        <v>0</v>
      </c>
      <c r="N182" s="10">
        <v>0</v>
      </c>
      <c r="O182" s="10">
        <v>3</v>
      </c>
      <c r="P182" s="10">
        <v>21.287779237845001</v>
      </c>
      <c r="Q182" s="10"/>
      <c r="R182" s="10"/>
    </row>
    <row r="183" spans="1:18" hidden="1" x14ac:dyDescent="0.3">
      <c r="A183" s="3">
        <v>135</v>
      </c>
      <c r="B183" s="3">
        <v>0</v>
      </c>
      <c r="C183" s="3" t="s">
        <v>155</v>
      </c>
      <c r="D183" s="3">
        <v>1</v>
      </c>
      <c r="E183" s="3" t="s">
        <v>18</v>
      </c>
      <c r="F183" s="4" t="s">
        <v>25</v>
      </c>
      <c r="G183" s="5">
        <f t="shared" si="4"/>
        <v>12.417871222076</v>
      </c>
      <c r="H183" s="6">
        <f t="shared" si="5"/>
        <v>1.0348226018396667</v>
      </c>
      <c r="I183" s="3">
        <v>100</v>
      </c>
      <c r="J183" s="3">
        <v>1</v>
      </c>
      <c r="K183" s="3">
        <v>1</v>
      </c>
      <c r="L183" s="3">
        <v>0</v>
      </c>
      <c r="M183" s="3">
        <v>1</v>
      </c>
      <c r="N183" s="3">
        <v>0</v>
      </c>
      <c r="O183" s="3">
        <v>1</v>
      </c>
      <c r="P183" s="3">
        <v>11.892247043364</v>
      </c>
      <c r="Q183" s="3">
        <v>12.417871222076</v>
      </c>
      <c r="R183" s="3"/>
    </row>
    <row r="184" spans="1:18" hidden="1" x14ac:dyDescent="0.3">
      <c r="A184" s="3">
        <v>135</v>
      </c>
      <c r="B184" s="3">
        <v>0</v>
      </c>
      <c r="C184" s="3" t="s">
        <v>155</v>
      </c>
      <c r="D184" s="3">
        <v>1</v>
      </c>
      <c r="E184" s="3" t="s">
        <v>83</v>
      </c>
      <c r="F184" s="4" t="s">
        <v>25</v>
      </c>
      <c r="G184" s="5">
        <f t="shared" si="4"/>
        <v>24.507227332456999</v>
      </c>
      <c r="H184" s="6">
        <f t="shared" si="5"/>
        <v>2.0422689443714166</v>
      </c>
      <c r="I184" s="3">
        <v>231</v>
      </c>
      <c r="J184" s="3">
        <v>2</v>
      </c>
      <c r="K184" s="3">
        <v>1</v>
      </c>
      <c r="L184" s="3">
        <v>1</v>
      </c>
      <c r="M184" s="3">
        <v>0</v>
      </c>
      <c r="N184" s="3">
        <v>0</v>
      </c>
      <c r="O184" s="3">
        <v>1</v>
      </c>
      <c r="P184" s="3">
        <v>19.809461235217</v>
      </c>
      <c r="Q184" s="3">
        <v>23.324572930355</v>
      </c>
      <c r="R184" s="3">
        <v>24.507227332456999</v>
      </c>
    </row>
    <row r="185" spans="1:18" hidden="1" x14ac:dyDescent="0.3">
      <c r="A185" s="7">
        <v>136</v>
      </c>
      <c r="B185" s="7">
        <v>0</v>
      </c>
      <c r="C185" s="7" t="s">
        <v>156</v>
      </c>
      <c r="D185" s="7">
        <v>1</v>
      </c>
      <c r="E185" s="7" t="s">
        <v>18</v>
      </c>
      <c r="F185" s="8" t="s">
        <v>25</v>
      </c>
      <c r="G185" s="9">
        <f t="shared" si="4"/>
        <v>10.676741130091999</v>
      </c>
      <c r="H185" s="6">
        <f t="shared" si="5"/>
        <v>0.88972842750766656</v>
      </c>
      <c r="I185" s="7">
        <v>107</v>
      </c>
      <c r="J185" s="7">
        <v>1</v>
      </c>
      <c r="K185" s="7">
        <v>1</v>
      </c>
      <c r="L185" s="7">
        <v>0</v>
      </c>
      <c r="M185" s="7">
        <v>1</v>
      </c>
      <c r="N185" s="7">
        <v>0</v>
      </c>
      <c r="O185" s="7">
        <v>2</v>
      </c>
      <c r="P185" s="7">
        <v>10.676741130091999</v>
      </c>
      <c r="Q185" s="7"/>
      <c r="R185" s="7"/>
    </row>
    <row r="186" spans="1:18" hidden="1" x14ac:dyDescent="0.3">
      <c r="A186" s="7">
        <v>136</v>
      </c>
      <c r="B186" s="7">
        <v>0</v>
      </c>
      <c r="C186" s="7" t="s">
        <v>156</v>
      </c>
      <c r="D186" s="7">
        <v>1</v>
      </c>
      <c r="E186" s="7" t="s">
        <v>83</v>
      </c>
      <c r="F186" s="8" t="s">
        <v>25</v>
      </c>
      <c r="G186" s="9">
        <f t="shared" si="4"/>
        <v>22.831800262811999</v>
      </c>
      <c r="H186" s="6">
        <f t="shared" si="5"/>
        <v>1.9026500219009999</v>
      </c>
      <c r="I186" s="7">
        <v>232</v>
      </c>
      <c r="J186" s="7">
        <v>2</v>
      </c>
      <c r="K186" s="7">
        <v>1</v>
      </c>
      <c r="L186" s="7">
        <v>1</v>
      </c>
      <c r="M186" s="7">
        <v>0</v>
      </c>
      <c r="N186" s="7">
        <v>0</v>
      </c>
      <c r="O186" s="7">
        <v>2</v>
      </c>
      <c r="P186" s="7">
        <v>22.831800262811999</v>
      </c>
      <c r="Q186" s="7"/>
      <c r="R186" s="7"/>
    </row>
    <row r="187" spans="1:18" hidden="1" x14ac:dyDescent="0.3">
      <c r="A187" s="10">
        <v>137</v>
      </c>
      <c r="B187" s="10">
        <v>0</v>
      </c>
      <c r="C187" s="10" t="s">
        <v>157</v>
      </c>
      <c r="D187" s="10">
        <v>1</v>
      </c>
      <c r="E187" s="10" t="s">
        <v>18</v>
      </c>
      <c r="F187" s="11" t="s">
        <v>19</v>
      </c>
      <c r="G187" s="12">
        <f t="shared" si="4"/>
        <v>7.9172141918527998</v>
      </c>
      <c r="H187" s="6">
        <f t="shared" si="5"/>
        <v>0.65976784932106669</v>
      </c>
      <c r="I187" s="10">
        <v>110</v>
      </c>
      <c r="J187" s="10">
        <v>1</v>
      </c>
      <c r="K187" s="10">
        <v>1</v>
      </c>
      <c r="L187" s="10">
        <v>0</v>
      </c>
      <c r="M187" s="10">
        <v>1</v>
      </c>
      <c r="N187" s="10">
        <v>0</v>
      </c>
      <c r="O187" s="10">
        <v>3</v>
      </c>
      <c r="P187" s="10">
        <v>7.9172141918527998</v>
      </c>
      <c r="Q187" s="10"/>
      <c r="R187" s="10"/>
    </row>
    <row r="188" spans="1:18" hidden="1" x14ac:dyDescent="0.3">
      <c r="A188" s="10">
        <v>137</v>
      </c>
      <c r="B188" s="10">
        <v>0</v>
      </c>
      <c r="C188" s="10" t="s">
        <v>157</v>
      </c>
      <c r="D188" s="10">
        <v>1</v>
      </c>
      <c r="E188" s="10" t="s">
        <v>83</v>
      </c>
      <c r="F188" s="11" t="s">
        <v>19</v>
      </c>
      <c r="G188" s="12">
        <f t="shared" si="4"/>
        <v>19.283837056505</v>
      </c>
      <c r="H188" s="6">
        <f t="shared" si="5"/>
        <v>1.6069864213754166</v>
      </c>
      <c r="I188" s="10">
        <v>233</v>
      </c>
      <c r="J188" s="10">
        <v>2</v>
      </c>
      <c r="K188" s="10">
        <v>1</v>
      </c>
      <c r="L188" s="10">
        <v>1</v>
      </c>
      <c r="M188" s="10">
        <v>0</v>
      </c>
      <c r="N188" s="10">
        <v>0</v>
      </c>
      <c r="O188" s="10">
        <v>3</v>
      </c>
      <c r="P188" s="10">
        <v>19.283837056505</v>
      </c>
      <c r="Q188" s="10"/>
      <c r="R188" s="10"/>
    </row>
    <row r="189" spans="1:18" hidden="1" x14ac:dyDescent="0.3">
      <c r="A189" s="3">
        <v>138</v>
      </c>
      <c r="B189" s="3">
        <v>0</v>
      </c>
      <c r="C189" s="3" t="s">
        <v>158</v>
      </c>
      <c r="D189" s="3">
        <v>1</v>
      </c>
      <c r="E189" s="3" t="s">
        <v>18</v>
      </c>
      <c r="F189" s="4" t="s">
        <v>25</v>
      </c>
      <c r="G189" s="5">
        <f t="shared" si="4"/>
        <v>4.9934296977660999</v>
      </c>
      <c r="H189" s="6">
        <f t="shared" si="5"/>
        <v>0.41611914148050833</v>
      </c>
      <c r="I189" s="3">
        <v>115</v>
      </c>
      <c r="J189" s="3">
        <v>1</v>
      </c>
      <c r="K189" s="3">
        <v>1</v>
      </c>
      <c r="L189" s="3">
        <v>0</v>
      </c>
      <c r="M189" s="3">
        <v>1</v>
      </c>
      <c r="N189" s="3">
        <v>0</v>
      </c>
      <c r="O189" s="3">
        <v>1</v>
      </c>
      <c r="P189" s="3">
        <v>4.9934296977660999</v>
      </c>
      <c r="Q189" s="3"/>
      <c r="R189" s="3"/>
    </row>
    <row r="190" spans="1:18" hidden="1" x14ac:dyDescent="0.3">
      <c r="A190" s="3">
        <v>138</v>
      </c>
      <c r="B190" s="3">
        <v>0</v>
      </c>
      <c r="C190" s="3" t="s">
        <v>158</v>
      </c>
      <c r="D190" s="3">
        <v>1</v>
      </c>
      <c r="E190" s="3" t="s">
        <v>83</v>
      </c>
      <c r="F190" s="4" t="s">
        <v>25</v>
      </c>
      <c r="G190" s="5">
        <f t="shared" si="4"/>
        <v>16.885676741129998</v>
      </c>
      <c r="H190" s="6">
        <f t="shared" si="5"/>
        <v>1.4071397284274998</v>
      </c>
      <c r="I190" s="3">
        <v>235</v>
      </c>
      <c r="J190" s="3">
        <v>2</v>
      </c>
      <c r="K190" s="3">
        <v>1</v>
      </c>
      <c r="L190" s="3">
        <v>1</v>
      </c>
      <c r="M190" s="3">
        <v>0</v>
      </c>
      <c r="N190" s="3">
        <v>0</v>
      </c>
      <c r="O190" s="3">
        <v>1</v>
      </c>
      <c r="P190" s="3">
        <v>16.885676741129998</v>
      </c>
      <c r="Q190" s="3"/>
      <c r="R190" s="3"/>
    </row>
    <row r="191" spans="1:18" hidden="1" x14ac:dyDescent="0.3">
      <c r="A191" s="7">
        <v>139</v>
      </c>
      <c r="B191" s="7">
        <v>0</v>
      </c>
      <c r="C191" s="7" t="s">
        <v>159</v>
      </c>
      <c r="D191" s="7">
        <v>1</v>
      </c>
      <c r="E191" s="7" t="s">
        <v>18</v>
      </c>
      <c r="F191" s="8" t="s">
        <v>25</v>
      </c>
      <c r="G191" s="9">
        <f t="shared" si="4"/>
        <v>11.793692509854999</v>
      </c>
      <c r="H191" s="6">
        <f t="shared" si="5"/>
        <v>0.98280770915458326</v>
      </c>
      <c r="I191" s="7">
        <v>117</v>
      </c>
      <c r="J191" s="7">
        <v>1</v>
      </c>
      <c r="K191" s="7">
        <v>1</v>
      </c>
      <c r="L191" s="7">
        <v>0</v>
      </c>
      <c r="M191" s="7">
        <v>0</v>
      </c>
      <c r="N191" s="7">
        <v>0</v>
      </c>
      <c r="O191" s="7">
        <v>2</v>
      </c>
      <c r="P191" s="7">
        <v>11.793692509854999</v>
      </c>
      <c r="Q191" s="7"/>
      <c r="R191" s="7"/>
    </row>
    <row r="192" spans="1:18" hidden="1" x14ac:dyDescent="0.3">
      <c r="A192" s="7">
        <v>139</v>
      </c>
      <c r="B192" s="7">
        <v>0</v>
      </c>
      <c r="C192" s="7" t="s">
        <v>159</v>
      </c>
      <c r="D192" s="7">
        <v>1</v>
      </c>
      <c r="E192" s="7" t="s">
        <v>83</v>
      </c>
      <c r="F192" s="8" t="s">
        <v>25</v>
      </c>
      <c r="G192" s="9">
        <f t="shared" si="4"/>
        <v>24.211563731931999</v>
      </c>
      <c r="H192" s="6">
        <f t="shared" si="5"/>
        <v>2.0176303109943334</v>
      </c>
      <c r="I192" s="7">
        <v>236</v>
      </c>
      <c r="J192" s="7">
        <v>2</v>
      </c>
      <c r="K192" s="7">
        <v>1</v>
      </c>
      <c r="L192" s="7">
        <v>1</v>
      </c>
      <c r="M192" s="7">
        <v>0</v>
      </c>
      <c r="N192" s="7">
        <v>0</v>
      </c>
      <c r="O192" s="7">
        <v>2</v>
      </c>
      <c r="P192" s="7">
        <v>24.211563731931999</v>
      </c>
      <c r="Q192" s="7"/>
      <c r="R192" s="7"/>
    </row>
    <row r="193" spans="1:18" x14ac:dyDescent="0.3">
      <c r="A193" s="10">
        <v>140</v>
      </c>
      <c r="B193" s="10">
        <v>16</v>
      </c>
      <c r="C193" s="10" t="s">
        <v>160</v>
      </c>
      <c r="D193" s="10">
        <v>0</v>
      </c>
      <c r="E193" s="10" t="s">
        <v>18</v>
      </c>
      <c r="F193" s="11" t="s">
        <v>25</v>
      </c>
      <c r="G193" s="12">
        <f t="shared" si="4"/>
        <v>6.0118265440209999</v>
      </c>
      <c r="H193" s="6">
        <f t="shared" si="5"/>
        <v>0.50098554533508333</v>
      </c>
      <c r="I193" s="10">
        <v>121</v>
      </c>
      <c r="J193" s="10">
        <v>1</v>
      </c>
      <c r="K193" s="10">
        <v>1</v>
      </c>
      <c r="L193" s="10">
        <v>0</v>
      </c>
      <c r="M193" s="10">
        <v>1</v>
      </c>
      <c r="N193" s="10">
        <v>1</v>
      </c>
      <c r="O193" s="10">
        <v>3</v>
      </c>
      <c r="P193" s="10">
        <v>6.0118265440209999</v>
      </c>
      <c r="Q193" s="10"/>
      <c r="R193" s="10"/>
    </row>
    <row r="194" spans="1:18" x14ac:dyDescent="0.3">
      <c r="A194" s="10">
        <v>140</v>
      </c>
      <c r="B194" s="10">
        <v>16</v>
      </c>
      <c r="C194" s="10" t="s">
        <v>160</v>
      </c>
      <c r="D194" s="10">
        <v>0</v>
      </c>
      <c r="E194" s="10" t="s">
        <v>161</v>
      </c>
      <c r="F194" s="11" t="s">
        <v>25</v>
      </c>
      <c r="G194" s="12">
        <f t="shared" ref="G194:G257" si="6">MAX(P194:R194)</f>
        <v>78.318002628120993</v>
      </c>
      <c r="H194" s="6">
        <f t="shared" ref="H194:H257" si="7">G194/12</f>
        <v>6.5265002190100825</v>
      </c>
      <c r="I194" s="10">
        <v>237</v>
      </c>
      <c r="J194" s="10">
        <v>2</v>
      </c>
      <c r="K194" s="10">
        <v>1</v>
      </c>
      <c r="L194" s="10">
        <v>1</v>
      </c>
      <c r="M194" s="10">
        <v>1</v>
      </c>
      <c r="N194" s="10">
        <v>1</v>
      </c>
      <c r="O194" s="10">
        <v>3</v>
      </c>
      <c r="P194" s="10">
        <v>78.318002628120993</v>
      </c>
      <c r="Q194" s="10"/>
      <c r="R194" s="10"/>
    </row>
    <row r="195" spans="1:18" x14ac:dyDescent="0.3">
      <c r="A195" s="10">
        <v>140</v>
      </c>
      <c r="B195" s="10">
        <v>16</v>
      </c>
      <c r="C195" s="10" t="s">
        <v>160</v>
      </c>
      <c r="D195" s="10">
        <v>0</v>
      </c>
      <c r="E195" s="10" t="s">
        <v>162</v>
      </c>
      <c r="F195" s="11" t="s">
        <v>25</v>
      </c>
      <c r="G195" s="12">
        <f t="shared" si="6"/>
        <v>91.655716162942994</v>
      </c>
      <c r="H195" s="6">
        <f t="shared" si="7"/>
        <v>7.6379763469119162</v>
      </c>
      <c r="I195" s="10">
        <v>276</v>
      </c>
      <c r="J195" s="10">
        <v>3</v>
      </c>
      <c r="K195" s="10">
        <v>1</v>
      </c>
      <c r="L195" s="10">
        <v>1</v>
      </c>
      <c r="M195" s="10">
        <v>1</v>
      </c>
      <c r="N195" s="10">
        <v>1</v>
      </c>
      <c r="O195" s="10">
        <v>3</v>
      </c>
      <c r="P195" s="10">
        <v>91.655716162942994</v>
      </c>
      <c r="Q195" s="10"/>
      <c r="R195" s="10"/>
    </row>
    <row r="196" spans="1:18" x14ac:dyDescent="0.3">
      <c r="A196" s="3">
        <v>141</v>
      </c>
      <c r="B196" s="3">
        <v>17</v>
      </c>
      <c r="C196" s="3" t="s">
        <v>163</v>
      </c>
      <c r="D196" s="3">
        <v>0</v>
      </c>
      <c r="E196" s="3" t="s">
        <v>18</v>
      </c>
      <c r="F196" s="4" t="s">
        <v>19</v>
      </c>
      <c r="G196" s="5">
        <f t="shared" si="6"/>
        <v>7.6872536136661997</v>
      </c>
      <c r="H196" s="6">
        <f t="shared" si="7"/>
        <v>0.64060446780551661</v>
      </c>
      <c r="I196" s="3">
        <v>122</v>
      </c>
      <c r="J196" s="3">
        <v>1</v>
      </c>
      <c r="K196" s="3">
        <v>1</v>
      </c>
      <c r="L196" s="3">
        <v>0</v>
      </c>
      <c r="M196" s="3">
        <v>1</v>
      </c>
      <c r="N196" s="3">
        <v>1</v>
      </c>
      <c r="O196" s="3">
        <v>1</v>
      </c>
      <c r="P196" s="3">
        <v>7.6872536136661997</v>
      </c>
      <c r="Q196" s="3"/>
      <c r="R196" s="3"/>
    </row>
    <row r="197" spans="1:18" x14ac:dyDescent="0.3">
      <c r="A197" s="3">
        <v>141</v>
      </c>
      <c r="B197" s="3">
        <v>17</v>
      </c>
      <c r="C197" s="3" t="s">
        <v>163</v>
      </c>
      <c r="D197" s="3">
        <v>0</v>
      </c>
      <c r="E197" s="3" t="s">
        <v>161</v>
      </c>
      <c r="F197" s="4" t="s">
        <v>19</v>
      </c>
      <c r="G197" s="5">
        <f t="shared" si="6"/>
        <v>77.693823915899998</v>
      </c>
      <c r="H197" s="6">
        <f t="shared" si="7"/>
        <v>6.4744853263249995</v>
      </c>
      <c r="I197" s="3">
        <v>238</v>
      </c>
      <c r="J197" s="3">
        <v>2</v>
      </c>
      <c r="K197" s="3">
        <v>1</v>
      </c>
      <c r="L197" s="3">
        <v>1</v>
      </c>
      <c r="M197" s="3">
        <v>1</v>
      </c>
      <c r="N197" s="3">
        <v>1</v>
      </c>
      <c r="O197" s="3">
        <v>1</v>
      </c>
      <c r="P197" s="3">
        <v>77.693823915899998</v>
      </c>
      <c r="Q197" s="3"/>
      <c r="R197" s="3"/>
    </row>
    <row r="198" spans="1:18" x14ac:dyDescent="0.3">
      <c r="A198" s="3">
        <v>141</v>
      </c>
      <c r="B198" s="3">
        <v>17</v>
      </c>
      <c r="C198" s="3" t="s">
        <v>163</v>
      </c>
      <c r="D198" s="3">
        <v>0</v>
      </c>
      <c r="E198" s="3" t="s">
        <v>162</v>
      </c>
      <c r="F198" s="4" t="s">
        <v>19</v>
      </c>
      <c r="G198" s="5">
        <f t="shared" si="6"/>
        <v>94.415243101182995</v>
      </c>
      <c r="H198" s="6">
        <f t="shared" si="7"/>
        <v>7.8679369250985829</v>
      </c>
      <c r="I198" s="3">
        <v>277</v>
      </c>
      <c r="J198" s="3">
        <v>3</v>
      </c>
      <c r="K198" s="3">
        <v>1</v>
      </c>
      <c r="L198" s="3">
        <v>1</v>
      </c>
      <c r="M198" s="3">
        <v>1</v>
      </c>
      <c r="N198" s="3">
        <v>1</v>
      </c>
      <c r="O198" s="3">
        <v>1</v>
      </c>
      <c r="P198" s="3">
        <v>94.415243101182995</v>
      </c>
      <c r="Q198" s="3"/>
      <c r="R198" s="3"/>
    </row>
    <row r="199" spans="1:18" x14ac:dyDescent="0.3">
      <c r="A199" s="3">
        <v>141</v>
      </c>
      <c r="B199" s="3">
        <v>17</v>
      </c>
      <c r="C199" s="3" t="s">
        <v>163</v>
      </c>
      <c r="D199" s="3">
        <v>0</v>
      </c>
      <c r="E199" s="3" t="s">
        <v>164</v>
      </c>
      <c r="F199" s="4" t="s">
        <v>19</v>
      </c>
      <c r="G199" s="5">
        <f t="shared" si="6"/>
        <v>106.40604467806</v>
      </c>
      <c r="H199" s="6">
        <f t="shared" si="7"/>
        <v>8.8671703898383338</v>
      </c>
      <c r="I199" s="3">
        <v>311</v>
      </c>
      <c r="J199" s="3">
        <v>4</v>
      </c>
      <c r="K199" s="3">
        <v>1</v>
      </c>
      <c r="L199" s="3">
        <v>1</v>
      </c>
      <c r="M199" s="3">
        <v>1</v>
      </c>
      <c r="N199" s="3">
        <v>1</v>
      </c>
      <c r="O199" s="3">
        <v>1</v>
      </c>
      <c r="P199" s="3">
        <v>106.40604467806</v>
      </c>
      <c r="Q199" s="3"/>
      <c r="R199" s="3"/>
    </row>
    <row r="200" spans="1:18" x14ac:dyDescent="0.3">
      <c r="A200" s="7">
        <v>142</v>
      </c>
      <c r="B200" s="7">
        <v>18</v>
      </c>
      <c r="C200" s="7" t="s">
        <v>165</v>
      </c>
      <c r="D200" s="7">
        <v>0</v>
      </c>
      <c r="E200" s="7" t="s">
        <v>18</v>
      </c>
      <c r="F200" s="8" t="s">
        <v>25</v>
      </c>
      <c r="G200" s="9">
        <f t="shared" si="6"/>
        <v>8.7385019710907006</v>
      </c>
      <c r="H200" s="6">
        <f t="shared" si="7"/>
        <v>0.72820849759089168</v>
      </c>
      <c r="I200" s="7">
        <v>124</v>
      </c>
      <c r="J200" s="7">
        <v>1</v>
      </c>
      <c r="K200" s="7">
        <v>1</v>
      </c>
      <c r="L200" s="7">
        <v>0</v>
      </c>
      <c r="M200" s="7">
        <v>1</v>
      </c>
      <c r="N200" s="7">
        <v>1</v>
      </c>
      <c r="O200" s="7">
        <v>2</v>
      </c>
      <c r="P200" s="7">
        <v>8.7385019710907006</v>
      </c>
      <c r="Q200" s="7"/>
      <c r="R200" s="7"/>
    </row>
    <row r="201" spans="1:18" x14ac:dyDescent="0.3">
      <c r="A201" s="7">
        <v>142</v>
      </c>
      <c r="B201" s="7">
        <v>18</v>
      </c>
      <c r="C201" s="7" t="s">
        <v>165</v>
      </c>
      <c r="D201" s="7">
        <v>0</v>
      </c>
      <c r="E201" s="7" t="s">
        <v>161</v>
      </c>
      <c r="F201" s="8" t="s">
        <v>25</v>
      </c>
      <c r="G201" s="9">
        <f t="shared" si="6"/>
        <v>74.408672798948999</v>
      </c>
      <c r="H201" s="6">
        <f t="shared" si="7"/>
        <v>6.2007227332457502</v>
      </c>
      <c r="I201" s="7">
        <v>239</v>
      </c>
      <c r="J201" s="7">
        <v>2</v>
      </c>
      <c r="K201" s="7">
        <v>1</v>
      </c>
      <c r="L201" s="7">
        <v>1</v>
      </c>
      <c r="M201" s="7">
        <v>1</v>
      </c>
      <c r="N201" s="7">
        <v>1</v>
      </c>
      <c r="O201" s="7">
        <v>2</v>
      </c>
      <c r="P201" s="7">
        <v>74.408672798948999</v>
      </c>
      <c r="Q201" s="7"/>
      <c r="R201" s="7"/>
    </row>
    <row r="202" spans="1:18" x14ac:dyDescent="0.3">
      <c r="A202" s="7">
        <v>142</v>
      </c>
      <c r="B202" s="7">
        <v>18</v>
      </c>
      <c r="C202" s="7" t="s">
        <v>165</v>
      </c>
      <c r="D202" s="7">
        <v>0</v>
      </c>
      <c r="E202" s="7" t="s">
        <v>162</v>
      </c>
      <c r="F202" s="8" t="s">
        <v>25</v>
      </c>
      <c r="G202" s="9">
        <f t="shared" si="6"/>
        <v>91.655716162942994</v>
      </c>
      <c r="H202" s="6">
        <f t="shared" si="7"/>
        <v>7.6379763469119162</v>
      </c>
      <c r="I202" s="7">
        <v>278</v>
      </c>
      <c r="J202" s="7">
        <v>3</v>
      </c>
      <c r="K202" s="7">
        <v>1</v>
      </c>
      <c r="L202" s="7">
        <v>1</v>
      </c>
      <c r="M202" s="7">
        <v>1</v>
      </c>
      <c r="N202" s="7">
        <v>1</v>
      </c>
      <c r="O202" s="7">
        <v>2</v>
      </c>
      <c r="P202" s="7">
        <v>91.655716162942994</v>
      </c>
      <c r="Q202" s="7"/>
      <c r="R202" s="7"/>
    </row>
    <row r="203" spans="1:18" x14ac:dyDescent="0.3">
      <c r="A203" s="7">
        <v>142</v>
      </c>
      <c r="B203" s="7">
        <v>18</v>
      </c>
      <c r="C203" s="7" t="s">
        <v>165</v>
      </c>
      <c r="D203" s="7">
        <v>0</v>
      </c>
      <c r="E203" s="7" t="s">
        <v>164</v>
      </c>
      <c r="F203" s="8" t="s">
        <v>25</v>
      </c>
      <c r="G203" s="9">
        <f t="shared" si="6"/>
        <v>108.93561103811</v>
      </c>
      <c r="H203" s="6">
        <f t="shared" si="7"/>
        <v>9.0779675865091658</v>
      </c>
      <c r="I203" s="7">
        <v>312</v>
      </c>
      <c r="J203" s="7">
        <v>4</v>
      </c>
      <c r="K203" s="7">
        <v>1</v>
      </c>
      <c r="L203" s="7">
        <v>1</v>
      </c>
      <c r="M203" s="7">
        <v>1</v>
      </c>
      <c r="N203" s="7">
        <v>1</v>
      </c>
      <c r="O203" s="7">
        <v>2</v>
      </c>
      <c r="P203" s="7">
        <v>108.93561103811</v>
      </c>
      <c r="Q203" s="7"/>
      <c r="R203" s="7"/>
    </row>
    <row r="204" spans="1:18" x14ac:dyDescent="0.3">
      <c r="A204" s="10">
        <v>143</v>
      </c>
      <c r="B204" s="10">
        <v>19</v>
      </c>
      <c r="C204" s="10" t="s">
        <v>166</v>
      </c>
      <c r="D204" s="10">
        <v>0</v>
      </c>
      <c r="E204" s="10" t="s">
        <v>18</v>
      </c>
      <c r="F204" s="11" t="s">
        <v>25</v>
      </c>
      <c r="G204" s="12">
        <f t="shared" si="6"/>
        <v>9.1327201051248004</v>
      </c>
      <c r="H204" s="6">
        <f t="shared" si="7"/>
        <v>0.76106000876040003</v>
      </c>
      <c r="I204" s="10">
        <v>126</v>
      </c>
      <c r="J204" s="10">
        <v>1</v>
      </c>
      <c r="K204" s="10">
        <v>1</v>
      </c>
      <c r="L204" s="10">
        <v>0</v>
      </c>
      <c r="M204" s="10">
        <v>1</v>
      </c>
      <c r="N204" s="10">
        <v>1</v>
      </c>
      <c r="O204" s="10">
        <v>3</v>
      </c>
      <c r="P204" s="10">
        <v>9.1327201051248004</v>
      </c>
      <c r="Q204" s="10"/>
      <c r="R204" s="10"/>
    </row>
    <row r="205" spans="1:18" x14ac:dyDescent="0.3">
      <c r="A205" s="10">
        <v>143</v>
      </c>
      <c r="B205" s="10">
        <v>19</v>
      </c>
      <c r="C205" s="10" t="s">
        <v>166</v>
      </c>
      <c r="D205" s="10">
        <v>0</v>
      </c>
      <c r="E205" s="10" t="s">
        <v>162</v>
      </c>
      <c r="F205" s="11" t="s">
        <v>25</v>
      </c>
      <c r="G205" s="12">
        <f t="shared" si="6"/>
        <v>75.262812089356004</v>
      </c>
      <c r="H205" s="6">
        <f t="shared" si="7"/>
        <v>6.2719010074463339</v>
      </c>
      <c r="I205" s="10">
        <v>279</v>
      </c>
      <c r="J205" s="10">
        <v>2</v>
      </c>
      <c r="K205" s="10">
        <v>1</v>
      </c>
      <c r="L205" s="10">
        <v>1</v>
      </c>
      <c r="M205" s="10">
        <v>1</v>
      </c>
      <c r="N205" s="10">
        <v>1</v>
      </c>
      <c r="O205" s="10">
        <v>3</v>
      </c>
      <c r="P205" s="10">
        <v>75.262812089356004</v>
      </c>
      <c r="Q205" s="10"/>
      <c r="R205" s="10"/>
    </row>
    <row r="206" spans="1:18" x14ac:dyDescent="0.3">
      <c r="A206" s="3">
        <v>144</v>
      </c>
      <c r="B206" s="3">
        <v>20</v>
      </c>
      <c r="C206" s="3" t="s">
        <v>167</v>
      </c>
      <c r="D206" s="3">
        <v>0</v>
      </c>
      <c r="E206" s="3" t="s">
        <v>18</v>
      </c>
      <c r="F206" s="4" t="s">
        <v>19</v>
      </c>
      <c r="G206" s="5">
        <f t="shared" si="6"/>
        <v>9.3298291721419009</v>
      </c>
      <c r="H206" s="6">
        <f t="shared" si="7"/>
        <v>0.77748576434515837</v>
      </c>
      <c r="I206" s="3">
        <v>129</v>
      </c>
      <c r="J206" s="3">
        <v>1</v>
      </c>
      <c r="K206" s="3">
        <v>1</v>
      </c>
      <c r="L206" s="3">
        <v>0</v>
      </c>
      <c r="M206" s="3">
        <v>1</v>
      </c>
      <c r="N206" s="3">
        <v>1</v>
      </c>
      <c r="O206" s="3">
        <v>1</v>
      </c>
      <c r="P206" s="3">
        <v>9.3298291721419009</v>
      </c>
      <c r="Q206" s="3"/>
      <c r="R206" s="3"/>
    </row>
    <row r="207" spans="1:18" x14ac:dyDescent="0.3">
      <c r="A207" s="3">
        <v>144</v>
      </c>
      <c r="B207" s="3">
        <v>20</v>
      </c>
      <c r="C207" s="3" t="s">
        <v>167</v>
      </c>
      <c r="D207" s="3">
        <v>0</v>
      </c>
      <c r="E207" s="3" t="s">
        <v>161</v>
      </c>
      <c r="F207" s="4" t="s">
        <v>19</v>
      </c>
      <c r="G207" s="5">
        <f t="shared" si="6"/>
        <v>73.258869908015996</v>
      </c>
      <c r="H207" s="6">
        <f t="shared" si="7"/>
        <v>6.1049058256679993</v>
      </c>
      <c r="I207" s="3">
        <v>240</v>
      </c>
      <c r="J207" s="3">
        <v>2</v>
      </c>
      <c r="K207" s="3">
        <v>1</v>
      </c>
      <c r="L207" s="3">
        <v>1</v>
      </c>
      <c r="M207" s="3">
        <v>1</v>
      </c>
      <c r="N207" s="3">
        <v>1</v>
      </c>
      <c r="O207" s="3">
        <v>1</v>
      </c>
      <c r="P207" s="3">
        <v>73.258869908015996</v>
      </c>
      <c r="Q207" s="3"/>
      <c r="R207" s="3"/>
    </row>
    <row r="208" spans="1:18" x14ac:dyDescent="0.3">
      <c r="A208" s="7">
        <v>145</v>
      </c>
      <c r="B208" s="7">
        <v>21</v>
      </c>
      <c r="C208" s="7" t="s">
        <v>168</v>
      </c>
      <c r="D208" s="7">
        <v>0</v>
      </c>
      <c r="E208" s="7" t="s">
        <v>18</v>
      </c>
      <c r="F208" s="8" t="s">
        <v>19</v>
      </c>
      <c r="G208" s="9">
        <f t="shared" si="6"/>
        <v>10.413929040736001</v>
      </c>
      <c r="H208" s="6">
        <f t="shared" si="7"/>
        <v>0.8678274200613334</v>
      </c>
      <c r="I208" s="7">
        <v>130</v>
      </c>
      <c r="J208" s="7">
        <v>1</v>
      </c>
      <c r="K208" s="7">
        <v>1</v>
      </c>
      <c r="L208" s="7">
        <v>0</v>
      </c>
      <c r="M208" s="7">
        <v>1</v>
      </c>
      <c r="N208" s="7">
        <v>1</v>
      </c>
      <c r="O208" s="7">
        <v>2</v>
      </c>
      <c r="P208" s="7">
        <v>10.413929040736001</v>
      </c>
      <c r="Q208" s="7"/>
      <c r="R208" s="7"/>
    </row>
    <row r="209" spans="1:18" x14ac:dyDescent="0.3">
      <c r="A209" s="7">
        <v>145</v>
      </c>
      <c r="B209" s="7">
        <v>21</v>
      </c>
      <c r="C209" s="7" t="s">
        <v>168</v>
      </c>
      <c r="D209" s="7">
        <v>0</v>
      </c>
      <c r="E209" s="7" t="s">
        <v>161</v>
      </c>
      <c r="F209" s="8" t="s">
        <v>19</v>
      </c>
      <c r="G209" s="9">
        <f t="shared" si="6"/>
        <v>73.193166885677002</v>
      </c>
      <c r="H209" s="6">
        <f t="shared" si="7"/>
        <v>6.0994305738064165</v>
      </c>
      <c r="I209" s="7">
        <v>241</v>
      </c>
      <c r="J209" s="7">
        <v>2</v>
      </c>
      <c r="K209" s="7">
        <v>1</v>
      </c>
      <c r="L209" s="7">
        <v>1</v>
      </c>
      <c r="M209" s="7">
        <v>1</v>
      </c>
      <c r="N209" s="7">
        <v>1</v>
      </c>
      <c r="O209" s="7">
        <v>2</v>
      </c>
      <c r="P209" s="7">
        <v>73.193166885677002</v>
      </c>
      <c r="Q209" s="7"/>
      <c r="R209" s="7"/>
    </row>
    <row r="210" spans="1:18" x14ac:dyDescent="0.3">
      <c r="A210" s="7">
        <v>145</v>
      </c>
      <c r="B210" s="7">
        <v>21</v>
      </c>
      <c r="C210" s="7" t="s">
        <v>168</v>
      </c>
      <c r="D210" s="7">
        <v>0</v>
      </c>
      <c r="E210" s="7" t="s">
        <v>164</v>
      </c>
      <c r="F210" s="8" t="s">
        <v>19</v>
      </c>
      <c r="G210" s="9">
        <f t="shared" si="6"/>
        <v>99.441524310117998</v>
      </c>
      <c r="H210" s="6">
        <f t="shared" si="7"/>
        <v>8.2867936925098338</v>
      </c>
      <c r="I210" s="7">
        <v>313</v>
      </c>
      <c r="J210" s="7">
        <v>3</v>
      </c>
      <c r="K210" s="7">
        <v>1</v>
      </c>
      <c r="L210" s="7">
        <v>1</v>
      </c>
      <c r="M210" s="7">
        <v>1</v>
      </c>
      <c r="N210" s="7">
        <v>1</v>
      </c>
      <c r="O210" s="7">
        <v>2</v>
      </c>
      <c r="P210" s="7">
        <v>99.441524310117998</v>
      </c>
      <c r="Q210" s="7"/>
      <c r="R210" s="7"/>
    </row>
    <row r="211" spans="1:18" x14ac:dyDescent="0.3">
      <c r="A211" s="10">
        <v>146</v>
      </c>
      <c r="B211" s="10">
        <v>22</v>
      </c>
      <c r="C211" s="10" t="s">
        <v>169</v>
      </c>
      <c r="D211" s="10">
        <v>0</v>
      </c>
      <c r="E211" s="10" t="s">
        <v>18</v>
      </c>
      <c r="F211" s="11" t="s">
        <v>19</v>
      </c>
      <c r="G211" s="12">
        <f t="shared" si="6"/>
        <v>8.9342422251424001</v>
      </c>
      <c r="H211" s="6">
        <f t="shared" si="7"/>
        <v>0.74452018542853338</v>
      </c>
      <c r="I211" s="10">
        <v>131</v>
      </c>
      <c r="J211" s="10">
        <v>1</v>
      </c>
      <c r="K211" s="10">
        <v>1</v>
      </c>
      <c r="L211" s="10">
        <v>0</v>
      </c>
      <c r="M211" s="10">
        <v>1</v>
      </c>
      <c r="N211" s="10">
        <v>1</v>
      </c>
      <c r="O211" s="10">
        <v>3</v>
      </c>
      <c r="P211" s="10">
        <v>8.9342422251424001</v>
      </c>
      <c r="Q211" s="10"/>
      <c r="R211" s="10"/>
    </row>
    <row r="212" spans="1:18" x14ac:dyDescent="0.3">
      <c r="A212" s="10">
        <v>146</v>
      </c>
      <c r="B212" s="10">
        <v>22</v>
      </c>
      <c r="C212" s="10" t="s">
        <v>169</v>
      </c>
      <c r="D212" s="10">
        <v>0</v>
      </c>
      <c r="E212" s="10" t="s">
        <v>161</v>
      </c>
      <c r="F212" s="11" t="s">
        <v>19</v>
      </c>
      <c r="G212" s="12">
        <f t="shared" si="6"/>
        <v>71.353482260183995</v>
      </c>
      <c r="H212" s="6">
        <f t="shared" si="7"/>
        <v>5.9461235216819999</v>
      </c>
      <c r="I212" s="10">
        <v>242</v>
      </c>
      <c r="J212" s="10">
        <v>2</v>
      </c>
      <c r="K212" s="10">
        <v>1</v>
      </c>
      <c r="L212" s="10">
        <v>1</v>
      </c>
      <c r="M212" s="10">
        <v>1</v>
      </c>
      <c r="N212" s="10">
        <v>1</v>
      </c>
      <c r="O212" s="10">
        <v>3</v>
      </c>
      <c r="P212" s="10">
        <v>71.353482260183995</v>
      </c>
      <c r="Q212" s="10"/>
      <c r="R212" s="10"/>
    </row>
    <row r="213" spans="1:18" x14ac:dyDescent="0.3">
      <c r="A213" s="10">
        <v>146</v>
      </c>
      <c r="B213" s="10">
        <v>22</v>
      </c>
      <c r="C213" s="10" t="s">
        <v>169</v>
      </c>
      <c r="D213" s="10">
        <v>0</v>
      </c>
      <c r="E213" s="10" t="s">
        <v>164</v>
      </c>
      <c r="F213" s="11" t="s">
        <v>19</v>
      </c>
      <c r="G213" s="12">
        <f t="shared" si="6"/>
        <v>97.207621550591</v>
      </c>
      <c r="H213" s="6">
        <f t="shared" si="7"/>
        <v>8.1006351292159167</v>
      </c>
      <c r="I213" s="10">
        <v>314</v>
      </c>
      <c r="J213" s="10">
        <v>3</v>
      </c>
      <c r="K213" s="10">
        <v>1</v>
      </c>
      <c r="L213" s="10">
        <v>1</v>
      </c>
      <c r="M213" s="10">
        <v>1</v>
      </c>
      <c r="N213" s="10">
        <v>1</v>
      </c>
      <c r="O213" s="10">
        <v>3</v>
      </c>
      <c r="P213" s="10">
        <v>97.207621550591</v>
      </c>
      <c r="Q213" s="10"/>
      <c r="R213" s="10"/>
    </row>
    <row r="214" spans="1:18" x14ac:dyDescent="0.3">
      <c r="A214" s="10">
        <v>146</v>
      </c>
      <c r="B214" s="10">
        <v>22</v>
      </c>
      <c r="C214" s="10" t="s">
        <v>169</v>
      </c>
      <c r="D214" s="10">
        <v>0</v>
      </c>
      <c r="E214" s="10" t="s">
        <v>162</v>
      </c>
      <c r="F214" s="11" t="s">
        <v>19</v>
      </c>
      <c r="G214" s="12">
        <f t="shared" si="6"/>
        <v>97.207621550591298</v>
      </c>
      <c r="H214" s="6">
        <f t="shared" si="7"/>
        <v>8.1006351292159415</v>
      </c>
      <c r="I214" s="10">
        <v>280</v>
      </c>
      <c r="J214" s="10">
        <v>4</v>
      </c>
      <c r="K214" s="10">
        <v>1</v>
      </c>
      <c r="L214" s="10">
        <v>1</v>
      </c>
      <c r="M214" s="10">
        <v>1</v>
      </c>
      <c r="N214" s="10">
        <v>1</v>
      </c>
      <c r="O214" s="10">
        <v>3</v>
      </c>
      <c r="P214" s="10">
        <v>97.207621550591298</v>
      </c>
      <c r="Q214" s="10"/>
      <c r="R214" s="10"/>
    </row>
    <row r="215" spans="1:18" x14ac:dyDescent="0.3">
      <c r="A215" s="3">
        <v>147</v>
      </c>
      <c r="B215" s="3">
        <v>23</v>
      </c>
      <c r="C215" s="3" t="s">
        <v>170</v>
      </c>
      <c r="D215" s="3">
        <v>0</v>
      </c>
      <c r="E215" s="3" t="s">
        <v>18</v>
      </c>
      <c r="F215" s="4" t="s">
        <v>25</v>
      </c>
      <c r="G215" s="5">
        <f t="shared" si="6"/>
        <v>17.608409986859002</v>
      </c>
      <c r="H215" s="6">
        <f t="shared" si="7"/>
        <v>1.4673674989049168</v>
      </c>
      <c r="I215" s="3">
        <v>132</v>
      </c>
      <c r="J215" s="3">
        <v>1</v>
      </c>
      <c r="K215" s="3">
        <v>1</v>
      </c>
      <c r="L215" s="3">
        <v>0</v>
      </c>
      <c r="M215" s="3">
        <v>1</v>
      </c>
      <c r="N215" s="3">
        <v>1</v>
      </c>
      <c r="O215" s="3">
        <v>1</v>
      </c>
      <c r="P215" s="3">
        <v>17.608409986859002</v>
      </c>
      <c r="Q215" s="3"/>
      <c r="R215" s="3"/>
    </row>
    <row r="216" spans="1:18" x14ac:dyDescent="0.3">
      <c r="A216" s="3">
        <v>147</v>
      </c>
      <c r="B216" s="3">
        <v>23</v>
      </c>
      <c r="C216" s="3" t="s">
        <v>170</v>
      </c>
      <c r="D216" s="3">
        <v>0</v>
      </c>
      <c r="E216" s="3" t="s">
        <v>162</v>
      </c>
      <c r="F216" s="4" t="s">
        <v>25</v>
      </c>
      <c r="G216" s="5">
        <f t="shared" si="6"/>
        <v>80.026281208935998</v>
      </c>
      <c r="H216" s="6">
        <f t="shared" si="7"/>
        <v>6.6688567674113335</v>
      </c>
      <c r="I216" s="3">
        <v>281</v>
      </c>
      <c r="J216" s="3">
        <v>2</v>
      </c>
      <c r="K216" s="3">
        <v>1</v>
      </c>
      <c r="L216" s="3">
        <v>1</v>
      </c>
      <c r="M216" s="3">
        <v>1</v>
      </c>
      <c r="N216" s="3">
        <v>1</v>
      </c>
      <c r="O216" s="3">
        <v>1</v>
      </c>
      <c r="P216" s="3">
        <v>80.026281208935998</v>
      </c>
      <c r="Q216" s="3"/>
      <c r="R216" s="3"/>
    </row>
    <row r="217" spans="1:18" x14ac:dyDescent="0.3">
      <c r="A217" s="7">
        <v>148</v>
      </c>
      <c r="B217" s="7">
        <v>24</v>
      </c>
      <c r="C217" s="7" t="s">
        <v>171</v>
      </c>
      <c r="D217" s="7">
        <v>0</v>
      </c>
      <c r="E217" s="7" t="s">
        <v>18</v>
      </c>
      <c r="F217" s="8" t="s">
        <v>19</v>
      </c>
      <c r="G217" s="9">
        <f t="shared" si="6"/>
        <v>10.216819973719</v>
      </c>
      <c r="H217" s="6">
        <f t="shared" si="7"/>
        <v>0.85140166447658328</v>
      </c>
      <c r="I217" s="7">
        <v>134</v>
      </c>
      <c r="J217" s="7">
        <v>1</v>
      </c>
      <c r="K217" s="7">
        <v>1</v>
      </c>
      <c r="L217" s="7">
        <v>0</v>
      </c>
      <c r="M217" s="7">
        <v>1</v>
      </c>
      <c r="N217" s="7">
        <v>1</v>
      </c>
      <c r="O217" s="7">
        <v>2</v>
      </c>
      <c r="P217" s="7">
        <v>10.216819973719</v>
      </c>
      <c r="Q217" s="7"/>
      <c r="R217" s="7"/>
    </row>
    <row r="218" spans="1:18" x14ac:dyDescent="0.3">
      <c r="A218" s="7">
        <v>148</v>
      </c>
      <c r="B218" s="7">
        <v>24</v>
      </c>
      <c r="C218" s="7" t="s">
        <v>171</v>
      </c>
      <c r="D218" s="7">
        <v>0</v>
      </c>
      <c r="E218" s="7" t="s">
        <v>161</v>
      </c>
      <c r="F218" s="8" t="s">
        <v>19</v>
      </c>
      <c r="G218" s="9">
        <f t="shared" si="6"/>
        <v>75.459921156372999</v>
      </c>
      <c r="H218" s="6">
        <f t="shared" si="7"/>
        <v>6.2883267630310833</v>
      </c>
      <c r="I218" s="7">
        <v>243</v>
      </c>
      <c r="J218" s="7">
        <v>2</v>
      </c>
      <c r="K218" s="7">
        <v>1</v>
      </c>
      <c r="L218" s="7">
        <v>1</v>
      </c>
      <c r="M218" s="7">
        <v>1</v>
      </c>
      <c r="N218" s="7">
        <v>1</v>
      </c>
      <c r="O218" s="7">
        <v>2</v>
      </c>
      <c r="P218" s="7">
        <v>75.459921156372999</v>
      </c>
      <c r="Q218" s="7"/>
      <c r="R218" s="7"/>
    </row>
    <row r="219" spans="1:18" x14ac:dyDescent="0.3">
      <c r="A219" s="7">
        <v>148</v>
      </c>
      <c r="B219" s="7">
        <v>24</v>
      </c>
      <c r="C219" s="7" t="s">
        <v>171</v>
      </c>
      <c r="D219" s="7">
        <v>0</v>
      </c>
      <c r="E219" s="7" t="s">
        <v>162</v>
      </c>
      <c r="F219" s="8" t="s">
        <v>19</v>
      </c>
      <c r="G219" s="9">
        <f t="shared" si="6"/>
        <v>86.957950065703002</v>
      </c>
      <c r="H219" s="6">
        <f t="shared" si="7"/>
        <v>7.2464958388085838</v>
      </c>
      <c r="I219" s="7">
        <v>282</v>
      </c>
      <c r="J219" s="7">
        <v>3</v>
      </c>
      <c r="K219" s="7">
        <v>1</v>
      </c>
      <c r="L219" s="7">
        <v>1</v>
      </c>
      <c r="M219" s="7">
        <v>1</v>
      </c>
      <c r="N219" s="7">
        <v>1</v>
      </c>
      <c r="O219" s="7">
        <v>2</v>
      </c>
      <c r="P219" s="7">
        <v>86.957950065703002</v>
      </c>
      <c r="Q219" s="7"/>
      <c r="R219" s="7"/>
    </row>
    <row r="220" spans="1:18" x14ac:dyDescent="0.3">
      <c r="A220" s="7">
        <v>148</v>
      </c>
      <c r="B220" s="7">
        <v>24</v>
      </c>
      <c r="C220" s="7" t="s">
        <v>171</v>
      </c>
      <c r="D220" s="7">
        <v>0</v>
      </c>
      <c r="E220" s="7" t="s">
        <v>164</v>
      </c>
      <c r="F220" s="8" t="s">
        <v>19</v>
      </c>
      <c r="G220" s="9">
        <f t="shared" si="6"/>
        <v>100.06570302234</v>
      </c>
      <c r="H220" s="6">
        <f t="shared" si="7"/>
        <v>8.3388085851950002</v>
      </c>
      <c r="I220" s="7">
        <v>315</v>
      </c>
      <c r="J220" s="7">
        <v>4</v>
      </c>
      <c r="K220" s="7">
        <v>1</v>
      </c>
      <c r="L220" s="7">
        <v>1</v>
      </c>
      <c r="M220" s="7">
        <v>1</v>
      </c>
      <c r="N220" s="7">
        <v>1</v>
      </c>
      <c r="O220" s="7">
        <v>2</v>
      </c>
      <c r="P220" s="7">
        <v>100.06570302234</v>
      </c>
      <c r="Q220" s="7"/>
      <c r="R220" s="7"/>
    </row>
    <row r="221" spans="1:18" x14ac:dyDescent="0.3">
      <c r="A221" s="10">
        <v>149</v>
      </c>
      <c r="B221" s="10">
        <v>25</v>
      </c>
      <c r="C221" s="10" t="s">
        <v>172</v>
      </c>
      <c r="D221" s="10">
        <v>0</v>
      </c>
      <c r="E221" s="10" t="s">
        <v>18</v>
      </c>
      <c r="F221" s="11" t="s">
        <v>25</v>
      </c>
      <c r="G221" s="12">
        <f t="shared" si="6"/>
        <v>8.5742444152431005</v>
      </c>
      <c r="H221" s="6">
        <f t="shared" si="7"/>
        <v>0.71452036793692508</v>
      </c>
      <c r="I221" s="10">
        <v>135</v>
      </c>
      <c r="J221" s="10">
        <v>1</v>
      </c>
      <c r="K221" s="10">
        <v>1</v>
      </c>
      <c r="L221" s="10">
        <v>0</v>
      </c>
      <c r="M221" s="10">
        <v>1</v>
      </c>
      <c r="N221" s="10">
        <v>1</v>
      </c>
      <c r="O221" s="10">
        <v>3</v>
      </c>
      <c r="P221" s="10">
        <v>8.5742444152431005</v>
      </c>
      <c r="Q221" s="10"/>
      <c r="R221" s="10"/>
    </row>
    <row r="222" spans="1:18" x14ac:dyDescent="0.3">
      <c r="A222" s="10">
        <v>149</v>
      </c>
      <c r="B222" s="10">
        <v>25</v>
      </c>
      <c r="C222" s="10" t="s">
        <v>172</v>
      </c>
      <c r="D222" s="10">
        <v>0</v>
      </c>
      <c r="E222" s="10" t="s">
        <v>161</v>
      </c>
      <c r="F222" s="11" t="s">
        <v>25</v>
      </c>
      <c r="G222" s="12">
        <f t="shared" si="6"/>
        <v>72.306176084100002</v>
      </c>
      <c r="H222" s="6">
        <f t="shared" si="7"/>
        <v>6.0255146736750005</v>
      </c>
      <c r="I222" s="10">
        <v>244</v>
      </c>
      <c r="J222" s="10">
        <v>2</v>
      </c>
      <c r="K222" s="10">
        <v>1</v>
      </c>
      <c r="L222" s="10">
        <v>1</v>
      </c>
      <c r="M222" s="10">
        <v>1</v>
      </c>
      <c r="N222" s="10">
        <v>1</v>
      </c>
      <c r="O222" s="10">
        <v>3</v>
      </c>
      <c r="P222" s="10">
        <v>72.306176084100002</v>
      </c>
      <c r="Q222" s="10"/>
      <c r="R222" s="10"/>
    </row>
    <row r="223" spans="1:18" x14ac:dyDescent="0.3">
      <c r="A223" s="10">
        <v>149</v>
      </c>
      <c r="B223" s="10">
        <v>25</v>
      </c>
      <c r="C223" s="10" t="s">
        <v>172</v>
      </c>
      <c r="D223" s="10">
        <v>0</v>
      </c>
      <c r="E223" s="10" t="s">
        <v>162</v>
      </c>
      <c r="F223" s="11" t="s">
        <v>25</v>
      </c>
      <c r="G223" s="12">
        <f t="shared" si="6"/>
        <v>89.126149802891007</v>
      </c>
      <c r="H223" s="6">
        <f t="shared" si="7"/>
        <v>7.4271791502409172</v>
      </c>
      <c r="I223" s="10">
        <v>283</v>
      </c>
      <c r="J223" s="10">
        <v>3</v>
      </c>
      <c r="K223" s="10">
        <v>1</v>
      </c>
      <c r="L223" s="10">
        <v>1</v>
      </c>
      <c r="M223" s="10">
        <v>1</v>
      </c>
      <c r="N223" s="10">
        <v>1</v>
      </c>
      <c r="O223" s="10">
        <v>3</v>
      </c>
      <c r="P223" s="10">
        <v>89.126149802891007</v>
      </c>
      <c r="Q223" s="10"/>
      <c r="R223" s="10"/>
    </row>
    <row r="224" spans="1:18" x14ac:dyDescent="0.3">
      <c r="A224" s="10">
        <v>149</v>
      </c>
      <c r="B224" s="10">
        <v>25</v>
      </c>
      <c r="C224" s="10" t="s">
        <v>172</v>
      </c>
      <c r="D224" s="10">
        <v>0</v>
      </c>
      <c r="E224" s="10" t="s">
        <v>164</v>
      </c>
      <c r="F224" s="11" t="s">
        <v>25</v>
      </c>
      <c r="G224" s="12">
        <f t="shared" si="6"/>
        <v>102.46386333770999</v>
      </c>
      <c r="H224" s="6">
        <f t="shared" si="7"/>
        <v>8.5386552781424996</v>
      </c>
      <c r="I224" s="10">
        <v>316</v>
      </c>
      <c r="J224" s="10">
        <v>4</v>
      </c>
      <c r="K224" s="10">
        <v>1</v>
      </c>
      <c r="L224" s="10">
        <v>1</v>
      </c>
      <c r="M224" s="10">
        <v>1</v>
      </c>
      <c r="N224" s="10">
        <v>1</v>
      </c>
      <c r="O224" s="10">
        <v>3</v>
      </c>
      <c r="P224" s="10">
        <v>102.46386333770999</v>
      </c>
      <c r="Q224" s="10"/>
      <c r="R224" s="10"/>
    </row>
    <row r="225" spans="1:18" x14ac:dyDescent="0.3">
      <c r="A225" s="3">
        <v>150</v>
      </c>
      <c r="B225" s="3">
        <v>26</v>
      </c>
      <c r="C225" s="3" t="s">
        <v>173</v>
      </c>
      <c r="D225" s="3">
        <v>0</v>
      </c>
      <c r="E225" s="3" t="s">
        <v>18</v>
      </c>
      <c r="F225" s="4" t="s">
        <v>25</v>
      </c>
      <c r="G225" s="5">
        <f t="shared" si="6"/>
        <v>10.183968462549</v>
      </c>
      <c r="H225" s="6">
        <f t="shared" si="7"/>
        <v>0.84866403854575001</v>
      </c>
      <c r="I225" s="3">
        <v>136</v>
      </c>
      <c r="J225" s="3">
        <v>1</v>
      </c>
      <c r="K225" s="3">
        <v>1</v>
      </c>
      <c r="L225" s="3">
        <v>0</v>
      </c>
      <c r="M225" s="3">
        <v>1</v>
      </c>
      <c r="N225" s="3">
        <v>1</v>
      </c>
      <c r="O225" s="3">
        <v>1</v>
      </c>
      <c r="P225" s="3">
        <v>10.183968462549</v>
      </c>
      <c r="Q225" s="3"/>
      <c r="R225" s="3"/>
    </row>
    <row r="226" spans="1:18" x14ac:dyDescent="0.3">
      <c r="A226" s="3">
        <v>150</v>
      </c>
      <c r="B226" s="3">
        <v>26</v>
      </c>
      <c r="C226" s="3" t="s">
        <v>173</v>
      </c>
      <c r="D226" s="3">
        <v>0</v>
      </c>
      <c r="E226" s="3" t="s">
        <v>161</v>
      </c>
      <c r="F226" s="4" t="s">
        <v>25</v>
      </c>
      <c r="G226" s="5">
        <f t="shared" si="6"/>
        <v>68.101182654401995</v>
      </c>
      <c r="H226" s="6">
        <f t="shared" si="7"/>
        <v>5.6750985545334993</v>
      </c>
      <c r="I226" s="3">
        <v>245</v>
      </c>
      <c r="J226" s="3">
        <v>2</v>
      </c>
      <c r="K226" s="3">
        <v>1</v>
      </c>
      <c r="L226" s="3">
        <v>1</v>
      </c>
      <c r="M226" s="3">
        <v>1</v>
      </c>
      <c r="N226" s="3">
        <v>1</v>
      </c>
      <c r="O226" s="3">
        <v>1</v>
      </c>
      <c r="P226" s="3">
        <v>68.101182654401995</v>
      </c>
      <c r="Q226" s="3"/>
      <c r="R226" s="3"/>
    </row>
    <row r="227" spans="1:18" x14ac:dyDescent="0.3">
      <c r="A227" s="3">
        <v>150</v>
      </c>
      <c r="B227" s="3">
        <v>26</v>
      </c>
      <c r="C227" s="3" t="s">
        <v>173</v>
      </c>
      <c r="D227" s="3">
        <v>0</v>
      </c>
      <c r="E227" s="3" t="s">
        <v>164</v>
      </c>
      <c r="F227" s="4" t="s">
        <v>25</v>
      </c>
      <c r="G227" s="5">
        <f t="shared" si="6"/>
        <v>107.88436268068</v>
      </c>
      <c r="H227" s="6">
        <f t="shared" si="7"/>
        <v>8.9903635567233326</v>
      </c>
      <c r="I227" s="3">
        <v>317</v>
      </c>
      <c r="J227" s="3">
        <v>3</v>
      </c>
      <c r="K227" s="3">
        <v>1</v>
      </c>
      <c r="L227" s="3">
        <v>1</v>
      </c>
      <c r="M227" s="3">
        <v>1</v>
      </c>
      <c r="N227" s="3">
        <v>1</v>
      </c>
      <c r="O227" s="3">
        <v>1</v>
      </c>
      <c r="P227" s="3">
        <v>107.88436268068</v>
      </c>
      <c r="Q227" s="3"/>
      <c r="R227" s="3"/>
    </row>
    <row r="228" spans="1:18" x14ac:dyDescent="0.3">
      <c r="A228" s="7">
        <v>151</v>
      </c>
      <c r="B228" s="7">
        <v>27</v>
      </c>
      <c r="C228" s="7" t="s">
        <v>174</v>
      </c>
      <c r="D228" s="7">
        <v>0</v>
      </c>
      <c r="E228" s="7" t="s">
        <v>18</v>
      </c>
      <c r="F228" s="8" t="s">
        <v>25</v>
      </c>
      <c r="G228" s="9">
        <f t="shared" si="6"/>
        <v>9.8883048620237002</v>
      </c>
      <c r="H228" s="6">
        <f t="shared" si="7"/>
        <v>0.82402540516864164</v>
      </c>
      <c r="I228" s="7">
        <v>137</v>
      </c>
      <c r="J228" s="7">
        <v>1</v>
      </c>
      <c r="K228" s="7">
        <v>1</v>
      </c>
      <c r="L228" s="7">
        <v>0</v>
      </c>
      <c r="M228" s="7">
        <v>1</v>
      </c>
      <c r="N228" s="7">
        <v>1</v>
      </c>
      <c r="O228" s="7">
        <v>2</v>
      </c>
      <c r="P228" s="7">
        <v>9.8883048620237002</v>
      </c>
      <c r="Q228" s="7"/>
      <c r="R228" s="7"/>
    </row>
    <row r="229" spans="1:18" x14ac:dyDescent="0.3">
      <c r="A229" s="7">
        <v>151</v>
      </c>
      <c r="B229" s="7">
        <v>27</v>
      </c>
      <c r="C229" s="7" t="s">
        <v>174</v>
      </c>
      <c r="D229" s="7">
        <v>0</v>
      </c>
      <c r="E229" s="7" t="s">
        <v>161</v>
      </c>
      <c r="F229" s="8" t="s">
        <v>25</v>
      </c>
      <c r="G229" s="9">
        <f t="shared" si="6"/>
        <v>67.575558475690002</v>
      </c>
      <c r="H229" s="6">
        <f t="shared" si="7"/>
        <v>5.6312965396408332</v>
      </c>
      <c r="I229" s="7">
        <v>246</v>
      </c>
      <c r="J229" s="7">
        <v>2</v>
      </c>
      <c r="K229" s="7">
        <v>1</v>
      </c>
      <c r="L229" s="7">
        <v>1</v>
      </c>
      <c r="M229" s="7">
        <v>1</v>
      </c>
      <c r="N229" s="7">
        <v>1</v>
      </c>
      <c r="O229" s="7">
        <v>2</v>
      </c>
      <c r="P229" s="7">
        <v>67.575558475690002</v>
      </c>
      <c r="Q229" s="7"/>
      <c r="R229" s="7"/>
    </row>
    <row r="230" spans="1:18" x14ac:dyDescent="0.3">
      <c r="A230" s="7">
        <v>151</v>
      </c>
      <c r="B230" s="7">
        <v>27</v>
      </c>
      <c r="C230" s="7" t="s">
        <v>174</v>
      </c>
      <c r="D230" s="7">
        <v>0</v>
      </c>
      <c r="E230" s="7" t="s">
        <v>162</v>
      </c>
      <c r="F230" s="8" t="s">
        <v>25</v>
      </c>
      <c r="G230" s="9">
        <f t="shared" si="6"/>
        <v>84.691195795007005</v>
      </c>
      <c r="H230" s="6">
        <f t="shared" si="7"/>
        <v>7.0575996495839171</v>
      </c>
      <c r="I230" s="7">
        <v>284</v>
      </c>
      <c r="J230" s="7">
        <v>3</v>
      </c>
      <c r="K230" s="7">
        <v>1</v>
      </c>
      <c r="L230" s="7">
        <v>1</v>
      </c>
      <c r="M230" s="7">
        <v>1</v>
      </c>
      <c r="N230" s="7">
        <v>1</v>
      </c>
      <c r="O230" s="7">
        <v>2</v>
      </c>
      <c r="P230" s="7">
        <v>84.691195795007005</v>
      </c>
      <c r="Q230" s="7"/>
      <c r="R230" s="7"/>
    </row>
    <row r="231" spans="1:18" x14ac:dyDescent="0.3">
      <c r="A231" s="7">
        <v>151</v>
      </c>
      <c r="B231" s="7">
        <v>27</v>
      </c>
      <c r="C231" s="7" t="s">
        <v>174</v>
      </c>
      <c r="D231" s="7">
        <v>0</v>
      </c>
      <c r="E231" s="7" t="s">
        <v>164</v>
      </c>
      <c r="F231" s="8" t="s">
        <v>25</v>
      </c>
      <c r="G231" s="9">
        <f t="shared" si="6"/>
        <v>100.72273324573</v>
      </c>
      <c r="H231" s="6">
        <f t="shared" si="7"/>
        <v>8.3935611038108338</v>
      </c>
      <c r="I231" s="7">
        <v>318</v>
      </c>
      <c r="J231" s="7">
        <v>4</v>
      </c>
      <c r="K231" s="7">
        <v>1</v>
      </c>
      <c r="L231" s="7">
        <v>1</v>
      </c>
      <c r="M231" s="7">
        <v>1</v>
      </c>
      <c r="N231" s="7">
        <v>1</v>
      </c>
      <c r="O231" s="7">
        <v>2</v>
      </c>
      <c r="P231" s="7">
        <v>100.72273324573</v>
      </c>
      <c r="Q231" s="7"/>
      <c r="R231" s="7"/>
    </row>
    <row r="232" spans="1:18" x14ac:dyDescent="0.3">
      <c r="A232" s="10">
        <v>152</v>
      </c>
      <c r="B232" s="10">
        <v>28</v>
      </c>
      <c r="C232" s="10" t="s">
        <v>175</v>
      </c>
      <c r="D232" s="10">
        <v>0</v>
      </c>
      <c r="E232" s="10" t="s">
        <v>18</v>
      </c>
      <c r="F232" s="11" t="s">
        <v>19</v>
      </c>
      <c r="G232" s="12">
        <f t="shared" si="6"/>
        <v>11.498028909329999</v>
      </c>
      <c r="H232" s="6">
        <f t="shared" si="7"/>
        <v>0.95816907577749999</v>
      </c>
      <c r="I232" s="10">
        <v>138</v>
      </c>
      <c r="J232" s="10">
        <v>1</v>
      </c>
      <c r="K232" s="10">
        <v>1</v>
      </c>
      <c r="L232" s="10">
        <v>0</v>
      </c>
      <c r="M232" s="10">
        <v>1</v>
      </c>
      <c r="N232" s="10">
        <v>1</v>
      </c>
      <c r="O232" s="10">
        <v>3</v>
      </c>
      <c r="P232" s="10">
        <v>11.498028909329999</v>
      </c>
      <c r="Q232" s="10"/>
      <c r="R232" s="10"/>
    </row>
    <row r="233" spans="1:18" x14ac:dyDescent="0.3">
      <c r="A233" s="10">
        <v>152</v>
      </c>
      <c r="B233" s="10">
        <v>28</v>
      </c>
      <c r="C233" s="10" t="s">
        <v>175</v>
      </c>
      <c r="D233" s="10">
        <v>0</v>
      </c>
      <c r="E233" s="10" t="s">
        <v>164</v>
      </c>
      <c r="F233" s="11" t="s">
        <v>19</v>
      </c>
      <c r="G233" s="12">
        <f t="shared" si="6"/>
        <v>103.94218134034</v>
      </c>
      <c r="H233" s="6">
        <f t="shared" si="7"/>
        <v>8.6618484450283333</v>
      </c>
      <c r="I233" s="10">
        <v>319</v>
      </c>
      <c r="J233" s="10">
        <v>2</v>
      </c>
      <c r="K233" s="10">
        <v>1</v>
      </c>
      <c r="L233" s="10">
        <v>1</v>
      </c>
      <c r="M233" s="10">
        <v>1</v>
      </c>
      <c r="N233" s="10">
        <v>1</v>
      </c>
      <c r="O233" s="10">
        <v>3</v>
      </c>
      <c r="P233" s="10">
        <v>103.94218134034</v>
      </c>
      <c r="Q233" s="10"/>
      <c r="R233" s="10"/>
    </row>
    <row r="234" spans="1:18" x14ac:dyDescent="0.3">
      <c r="A234" s="3">
        <v>153</v>
      </c>
      <c r="B234" s="3">
        <v>29</v>
      </c>
      <c r="C234" s="3" t="s">
        <v>176</v>
      </c>
      <c r="D234" s="3">
        <v>0</v>
      </c>
      <c r="E234" s="3" t="s">
        <v>18</v>
      </c>
      <c r="F234" s="4" t="s">
        <v>19</v>
      </c>
      <c r="G234" s="5">
        <f t="shared" si="6"/>
        <v>8.7056504599212001</v>
      </c>
      <c r="H234" s="6">
        <f t="shared" si="7"/>
        <v>0.72547087166010005</v>
      </c>
      <c r="I234" s="3">
        <v>139</v>
      </c>
      <c r="J234" s="3">
        <v>1</v>
      </c>
      <c r="K234" s="3">
        <v>1</v>
      </c>
      <c r="L234" s="3">
        <v>0</v>
      </c>
      <c r="M234" s="3">
        <v>1</v>
      </c>
      <c r="N234" s="3">
        <v>1</v>
      </c>
      <c r="O234" s="3">
        <v>1</v>
      </c>
      <c r="P234" s="3">
        <v>8.7056504599212001</v>
      </c>
      <c r="Q234" s="3"/>
      <c r="R234" s="3"/>
    </row>
    <row r="235" spans="1:18" x14ac:dyDescent="0.3">
      <c r="A235" s="3">
        <v>153</v>
      </c>
      <c r="B235" s="3">
        <v>29</v>
      </c>
      <c r="C235" s="3" t="s">
        <v>176</v>
      </c>
      <c r="D235" s="3">
        <v>0</v>
      </c>
      <c r="E235" s="3" t="s">
        <v>161</v>
      </c>
      <c r="F235" s="4" t="s">
        <v>19</v>
      </c>
      <c r="G235" s="5">
        <f t="shared" si="6"/>
        <v>65.210249671485002</v>
      </c>
      <c r="H235" s="6">
        <f t="shared" si="7"/>
        <v>5.4341874726237505</v>
      </c>
      <c r="I235" s="3">
        <v>247</v>
      </c>
      <c r="J235" s="3">
        <v>2</v>
      </c>
      <c r="K235" s="3">
        <v>1</v>
      </c>
      <c r="L235" s="3">
        <v>1</v>
      </c>
      <c r="M235" s="3">
        <v>1</v>
      </c>
      <c r="N235" s="3">
        <v>1</v>
      </c>
      <c r="O235" s="3">
        <v>1</v>
      </c>
      <c r="P235" s="3">
        <v>65.210249671485002</v>
      </c>
      <c r="Q235" s="3"/>
      <c r="R235" s="3"/>
    </row>
    <row r="236" spans="1:18" x14ac:dyDescent="0.3">
      <c r="A236" s="3">
        <v>153</v>
      </c>
      <c r="B236" s="3">
        <v>29</v>
      </c>
      <c r="C236" s="3" t="s">
        <v>176</v>
      </c>
      <c r="D236" s="3">
        <v>0</v>
      </c>
      <c r="E236" s="3" t="s">
        <v>162</v>
      </c>
      <c r="F236" s="4" t="s">
        <v>19</v>
      </c>
      <c r="G236" s="5">
        <f t="shared" si="6"/>
        <v>82.621550591326994</v>
      </c>
      <c r="H236" s="6">
        <f t="shared" si="7"/>
        <v>6.8851292159439161</v>
      </c>
      <c r="I236" s="3">
        <v>285</v>
      </c>
      <c r="J236" s="3">
        <v>3</v>
      </c>
      <c r="K236" s="3">
        <v>1</v>
      </c>
      <c r="L236" s="3">
        <v>1</v>
      </c>
      <c r="M236" s="3">
        <v>1</v>
      </c>
      <c r="N236" s="3">
        <v>1</v>
      </c>
      <c r="O236" s="3">
        <v>1</v>
      </c>
      <c r="P236" s="3">
        <v>82.621550591326994</v>
      </c>
      <c r="Q236" s="3"/>
      <c r="R236" s="3"/>
    </row>
    <row r="237" spans="1:18" x14ac:dyDescent="0.3">
      <c r="A237" s="3">
        <v>153</v>
      </c>
      <c r="B237" s="3">
        <v>29</v>
      </c>
      <c r="C237" s="3" t="s">
        <v>176</v>
      </c>
      <c r="D237" s="3">
        <v>0</v>
      </c>
      <c r="E237" s="3" t="s">
        <v>164</v>
      </c>
      <c r="F237" s="4" t="s">
        <v>19</v>
      </c>
      <c r="G237" s="5">
        <f t="shared" si="6"/>
        <v>96.090670170828005</v>
      </c>
      <c r="H237" s="6">
        <f t="shared" si="7"/>
        <v>8.0075558475689999</v>
      </c>
      <c r="I237" s="3">
        <v>320</v>
      </c>
      <c r="J237" s="3">
        <v>4</v>
      </c>
      <c r="K237" s="3">
        <v>1</v>
      </c>
      <c r="L237" s="3">
        <v>1</v>
      </c>
      <c r="M237" s="3">
        <v>1</v>
      </c>
      <c r="N237" s="3">
        <v>1</v>
      </c>
      <c r="O237" s="3">
        <v>1</v>
      </c>
      <c r="P237" s="3">
        <v>96.090670170828005</v>
      </c>
      <c r="Q237" s="3"/>
      <c r="R237" s="3"/>
    </row>
    <row r="238" spans="1:18" x14ac:dyDescent="0.3">
      <c r="A238" s="7">
        <v>154</v>
      </c>
      <c r="B238" s="7">
        <v>30</v>
      </c>
      <c r="C238" s="7" t="s">
        <v>177</v>
      </c>
      <c r="D238" s="7">
        <v>0</v>
      </c>
      <c r="E238" s="7" t="s">
        <v>18</v>
      </c>
      <c r="F238" s="8" t="s">
        <v>19</v>
      </c>
      <c r="G238" s="9">
        <f t="shared" si="6"/>
        <v>9.4940867279894992</v>
      </c>
      <c r="H238" s="6">
        <f t="shared" si="7"/>
        <v>0.79117389399912497</v>
      </c>
      <c r="I238" s="7">
        <v>140</v>
      </c>
      <c r="J238" s="7">
        <v>1</v>
      </c>
      <c r="K238" s="7">
        <v>1</v>
      </c>
      <c r="L238" s="7">
        <v>0</v>
      </c>
      <c r="M238" s="7">
        <v>1</v>
      </c>
      <c r="N238" s="7">
        <v>1</v>
      </c>
      <c r="O238" s="7">
        <v>2</v>
      </c>
      <c r="P238" s="7">
        <v>9.4940867279894992</v>
      </c>
      <c r="Q238" s="7"/>
      <c r="R238" s="7"/>
    </row>
    <row r="239" spans="1:18" x14ac:dyDescent="0.3">
      <c r="A239" s="7">
        <v>154</v>
      </c>
      <c r="B239" s="7">
        <v>30</v>
      </c>
      <c r="C239" s="7" t="s">
        <v>177</v>
      </c>
      <c r="D239" s="7">
        <v>0</v>
      </c>
      <c r="E239" s="7" t="s">
        <v>161</v>
      </c>
      <c r="F239" s="8" t="s">
        <v>19</v>
      </c>
      <c r="G239" s="9">
        <f t="shared" si="6"/>
        <v>66.754270696451997</v>
      </c>
      <c r="H239" s="6">
        <f t="shared" si="7"/>
        <v>5.562855891371</v>
      </c>
      <c r="I239" s="7">
        <v>248</v>
      </c>
      <c r="J239" s="7">
        <v>2</v>
      </c>
      <c r="K239" s="7">
        <v>1</v>
      </c>
      <c r="L239" s="7">
        <v>1</v>
      </c>
      <c r="M239" s="7">
        <v>1</v>
      </c>
      <c r="N239" s="7">
        <v>1</v>
      </c>
      <c r="O239" s="7">
        <v>2</v>
      </c>
      <c r="P239" s="7">
        <v>66.754270696451997</v>
      </c>
      <c r="Q239" s="7"/>
      <c r="R239" s="7"/>
    </row>
    <row r="240" spans="1:18" x14ac:dyDescent="0.3">
      <c r="A240" s="7">
        <v>154</v>
      </c>
      <c r="B240" s="7">
        <v>30</v>
      </c>
      <c r="C240" s="7" t="s">
        <v>177</v>
      </c>
      <c r="D240" s="7">
        <v>0</v>
      </c>
      <c r="E240" s="7" t="s">
        <v>162</v>
      </c>
      <c r="F240" s="8" t="s">
        <v>19</v>
      </c>
      <c r="G240" s="9">
        <f t="shared" si="6"/>
        <v>80.781865965834001</v>
      </c>
      <c r="H240" s="6">
        <f t="shared" si="7"/>
        <v>6.7318221638195004</v>
      </c>
      <c r="I240" s="7">
        <v>286</v>
      </c>
      <c r="J240" s="7">
        <v>3</v>
      </c>
      <c r="K240" s="7">
        <v>1</v>
      </c>
      <c r="L240" s="7">
        <v>1</v>
      </c>
      <c r="M240" s="7">
        <v>1</v>
      </c>
      <c r="N240" s="7">
        <v>1</v>
      </c>
      <c r="O240" s="7">
        <v>2</v>
      </c>
      <c r="P240" s="7">
        <v>80.781865965834001</v>
      </c>
      <c r="Q240" s="7"/>
      <c r="R240" s="7"/>
    </row>
    <row r="241" spans="1:18" x14ac:dyDescent="0.3">
      <c r="A241" s="7">
        <v>154</v>
      </c>
      <c r="B241" s="7">
        <v>30</v>
      </c>
      <c r="C241" s="7" t="s">
        <v>177</v>
      </c>
      <c r="D241" s="7">
        <v>0</v>
      </c>
      <c r="E241" s="7" t="s">
        <v>164</v>
      </c>
      <c r="F241" s="8" t="s">
        <v>19</v>
      </c>
      <c r="G241" s="9">
        <f t="shared" si="6"/>
        <v>97.339027595269002</v>
      </c>
      <c r="H241" s="6">
        <f t="shared" si="7"/>
        <v>8.1115856329390841</v>
      </c>
      <c r="I241" s="7">
        <v>321</v>
      </c>
      <c r="J241" s="7">
        <v>4</v>
      </c>
      <c r="K241" s="7">
        <v>1</v>
      </c>
      <c r="L241" s="7">
        <v>1</v>
      </c>
      <c r="M241" s="7">
        <v>1</v>
      </c>
      <c r="N241" s="7">
        <v>1</v>
      </c>
      <c r="O241" s="7">
        <v>2</v>
      </c>
      <c r="P241" s="7">
        <v>97.339027595269002</v>
      </c>
      <c r="Q241" s="7"/>
      <c r="R241" s="7"/>
    </row>
    <row r="242" spans="1:18" x14ac:dyDescent="0.3">
      <c r="A242" s="10">
        <v>155</v>
      </c>
      <c r="B242" s="10">
        <v>31</v>
      </c>
      <c r="C242" s="10" t="s">
        <v>178</v>
      </c>
      <c r="D242" s="10">
        <v>0</v>
      </c>
      <c r="E242" s="10" t="s">
        <v>18</v>
      </c>
      <c r="F242" s="11" t="s">
        <v>19</v>
      </c>
      <c r="G242" s="12">
        <f t="shared" si="6"/>
        <v>8.9356110381077993</v>
      </c>
      <c r="H242" s="6">
        <f t="shared" si="7"/>
        <v>0.74463425317564991</v>
      </c>
      <c r="I242" s="10">
        <v>141</v>
      </c>
      <c r="J242" s="10">
        <v>1</v>
      </c>
      <c r="K242" s="10">
        <v>1</v>
      </c>
      <c r="L242" s="10">
        <v>0</v>
      </c>
      <c r="M242" s="10">
        <v>1</v>
      </c>
      <c r="N242" s="10">
        <v>1</v>
      </c>
      <c r="O242" s="10">
        <v>3</v>
      </c>
      <c r="P242" s="10">
        <v>8.9356110381077993</v>
      </c>
      <c r="Q242" s="10"/>
      <c r="R242" s="10"/>
    </row>
    <row r="243" spans="1:18" x14ac:dyDescent="0.3">
      <c r="A243" s="10">
        <v>155</v>
      </c>
      <c r="B243" s="10">
        <v>31</v>
      </c>
      <c r="C243" s="10" t="s">
        <v>178</v>
      </c>
      <c r="D243" s="10">
        <v>0</v>
      </c>
      <c r="E243" s="10" t="s">
        <v>161</v>
      </c>
      <c r="F243" s="11" t="s">
        <v>19</v>
      </c>
      <c r="G243" s="12">
        <f t="shared" si="6"/>
        <v>64.257555847568995</v>
      </c>
      <c r="H243" s="6">
        <f t="shared" si="7"/>
        <v>5.3547963206307498</v>
      </c>
      <c r="I243" s="10">
        <v>249</v>
      </c>
      <c r="J243" s="10">
        <v>2</v>
      </c>
      <c r="K243" s="10">
        <v>1</v>
      </c>
      <c r="L243" s="10">
        <v>1</v>
      </c>
      <c r="M243" s="10">
        <v>1</v>
      </c>
      <c r="N243" s="10">
        <v>1</v>
      </c>
      <c r="O243" s="10">
        <v>3</v>
      </c>
      <c r="P243" s="10">
        <v>64.257555847568995</v>
      </c>
      <c r="Q243" s="10"/>
      <c r="R243" s="10"/>
    </row>
    <row r="244" spans="1:18" x14ac:dyDescent="0.3">
      <c r="A244" s="10">
        <v>155</v>
      </c>
      <c r="B244" s="10">
        <v>31</v>
      </c>
      <c r="C244" s="10" t="s">
        <v>178</v>
      </c>
      <c r="D244" s="10">
        <v>0</v>
      </c>
      <c r="E244" s="10" t="s">
        <v>162</v>
      </c>
      <c r="F244" s="11" t="s">
        <v>19</v>
      </c>
      <c r="G244" s="12">
        <f t="shared" si="6"/>
        <v>81.833114323258997</v>
      </c>
      <c r="H244" s="6">
        <f t="shared" si="7"/>
        <v>6.8194261936049161</v>
      </c>
      <c r="I244" s="10">
        <v>287</v>
      </c>
      <c r="J244" s="10">
        <v>3</v>
      </c>
      <c r="K244" s="10">
        <v>1</v>
      </c>
      <c r="L244" s="10">
        <v>1</v>
      </c>
      <c r="M244" s="10">
        <v>1</v>
      </c>
      <c r="N244" s="10">
        <v>1</v>
      </c>
      <c r="O244" s="10">
        <v>3</v>
      </c>
      <c r="P244" s="10">
        <v>81.833114323258997</v>
      </c>
      <c r="Q244" s="10"/>
      <c r="R244" s="10"/>
    </row>
    <row r="245" spans="1:18" x14ac:dyDescent="0.3">
      <c r="A245" s="10">
        <v>155</v>
      </c>
      <c r="B245" s="10">
        <v>31</v>
      </c>
      <c r="C245" s="10" t="s">
        <v>178</v>
      </c>
      <c r="D245" s="10">
        <v>0</v>
      </c>
      <c r="E245" s="10" t="s">
        <v>164</v>
      </c>
      <c r="F245" s="11" t="s">
        <v>19</v>
      </c>
      <c r="G245" s="12">
        <f t="shared" si="6"/>
        <v>96.780551905387995</v>
      </c>
      <c r="H245" s="6">
        <f t="shared" si="7"/>
        <v>8.0650459921156656</v>
      </c>
      <c r="I245" s="10">
        <v>322</v>
      </c>
      <c r="J245" s="10">
        <v>4</v>
      </c>
      <c r="K245" s="10">
        <v>1</v>
      </c>
      <c r="L245" s="10">
        <v>1</v>
      </c>
      <c r="M245" s="10">
        <v>1</v>
      </c>
      <c r="N245" s="10">
        <v>1</v>
      </c>
      <c r="O245" s="10">
        <v>3</v>
      </c>
      <c r="P245" s="10">
        <v>96.780551905387995</v>
      </c>
      <c r="Q245" s="10"/>
      <c r="R245" s="10"/>
    </row>
    <row r="246" spans="1:18" x14ac:dyDescent="0.3">
      <c r="A246" s="3">
        <v>156</v>
      </c>
      <c r="B246" s="3">
        <v>32</v>
      </c>
      <c r="C246" s="3" t="s">
        <v>179</v>
      </c>
      <c r="D246" s="3">
        <v>0</v>
      </c>
      <c r="E246" s="3" t="s">
        <v>18</v>
      </c>
      <c r="F246" s="4" t="s">
        <v>19</v>
      </c>
      <c r="G246" s="5">
        <f t="shared" si="6"/>
        <v>17.115637319316999</v>
      </c>
      <c r="H246" s="6">
        <f t="shared" si="7"/>
        <v>1.4263031099430832</v>
      </c>
      <c r="I246" s="3">
        <v>142</v>
      </c>
      <c r="J246" s="3">
        <v>1</v>
      </c>
      <c r="K246" s="3">
        <v>1</v>
      </c>
      <c r="L246" s="3">
        <v>0</v>
      </c>
      <c r="M246" s="3">
        <v>1</v>
      </c>
      <c r="N246" s="3">
        <v>1</v>
      </c>
      <c r="O246" s="3">
        <v>1</v>
      </c>
      <c r="P246" s="3">
        <v>17.115637319316999</v>
      </c>
      <c r="Q246" s="3"/>
      <c r="R246" s="3"/>
    </row>
    <row r="247" spans="1:18" x14ac:dyDescent="0.3">
      <c r="A247" s="3">
        <v>156</v>
      </c>
      <c r="B247" s="3">
        <v>32</v>
      </c>
      <c r="C247" s="3" t="s">
        <v>179</v>
      </c>
      <c r="D247" s="3">
        <v>0</v>
      </c>
      <c r="E247" s="3" t="s">
        <v>161</v>
      </c>
      <c r="F247" s="4" t="s">
        <v>19</v>
      </c>
      <c r="G247" s="5">
        <f t="shared" si="6"/>
        <v>76.971090670170994</v>
      </c>
      <c r="H247" s="6">
        <f t="shared" si="7"/>
        <v>6.4142575558475832</v>
      </c>
      <c r="I247" s="3">
        <v>250</v>
      </c>
      <c r="J247" s="3">
        <v>2</v>
      </c>
      <c r="K247" s="3">
        <v>1</v>
      </c>
      <c r="L247" s="3">
        <v>1</v>
      </c>
      <c r="M247" s="3">
        <v>1</v>
      </c>
      <c r="N247" s="3">
        <v>1</v>
      </c>
      <c r="O247" s="3">
        <v>1</v>
      </c>
      <c r="P247" s="3">
        <v>76.971090670170994</v>
      </c>
      <c r="Q247" s="3"/>
      <c r="R247" s="3"/>
    </row>
    <row r="248" spans="1:18" x14ac:dyDescent="0.3">
      <c r="A248" s="3">
        <v>156</v>
      </c>
      <c r="B248" s="3">
        <v>32</v>
      </c>
      <c r="C248" s="3" t="s">
        <v>179</v>
      </c>
      <c r="D248" s="3">
        <v>0</v>
      </c>
      <c r="E248" s="3" t="s">
        <v>162</v>
      </c>
      <c r="F248" s="4" t="s">
        <v>19</v>
      </c>
      <c r="G248" s="5">
        <f t="shared" si="6"/>
        <v>101.08409986859</v>
      </c>
      <c r="H248" s="6">
        <f t="shared" si="7"/>
        <v>8.4236749890491662</v>
      </c>
      <c r="I248" s="3">
        <v>288</v>
      </c>
      <c r="J248" s="3">
        <v>3</v>
      </c>
      <c r="K248" s="3">
        <v>1</v>
      </c>
      <c r="L248" s="3">
        <v>1</v>
      </c>
      <c r="M248" s="3">
        <v>1</v>
      </c>
      <c r="N248" s="3">
        <v>1</v>
      </c>
      <c r="O248" s="3">
        <v>1</v>
      </c>
      <c r="P248" s="3">
        <v>101.08409986859</v>
      </c>
      <c r="Q248" s="3"/>
      <c r="R248" s="3"/>
    </row>
    <row r="249" spans="1:18" x14ac:dyDescent="0.3">
      <c r="A249" s="7">
        <v>157</v>
      </c>
      <c r="B249" s="7">
        <v>33</v>
      </c>
      <c r="C249" s="7" t="s">
        <v>180</v>
      </c>
      <c r="D249" s="7">
        <v>0</v>
      </c>
      <c r="E249" s="7" t="s">
        <v>18</v>
      </c>
      <c r="F249" s="8" t="s">
        <v>19</v>
      </c>
      <c r="G249" s="9">
        <f t="shared" si="6"/>
        <v>6.6031537450722997</v>
      </c>
      <c r="H249" s="6">
        <f t="shared" si="7"/>
        <v>0.55026281208935834</v>
      </c>
      <c r="I249" s="7">
        <v>143</v>
      </c>
      <c r="J249" s="7">
        <v>1</v>
      </c>
      <c r="K249" s="7">
        <v>1</v>
      </c>
      <c r="L249" s="7">
        <v>0</v>
      </c>
      <c r="M249" s="7">
        <v>1</v>
      </c>
      <c r="N249" s="7">
        <v>1</v>
      </c>
      <c r="O249" s="7">
        <v>2</v>
      </c>
      <c r="P249" s="7">
        <v>6.6031537450722997</v>
      </c>
      <c r="Q249" s="7"/>
      <c r="R249" s="7"/>
    </row>
    <row r="250" spans="1:18" hidden="1" x14ac:dyDescent="0.3">
      <c r="A250" s="7">
        <v>157</v>
      </c>
      <c r="B250" s="7">
        <v>0</v>
      </c>
      <c r="C250" s="7" t="s">
        <v>180</v>
      </c>
      <c r="D250" s="7">
        <v>0</v>
      </c>
      <c r="E250" s="7" t="s">
        <v>161</v>
      </c>
      <c r="F250" s="8" t="s">
        <v>19</v>
      </c>
      <c r="G250" s="9">
        <f t="shared" si="6"/>
        <v>61.300919842313</v>
      </c>
      <c r="H250" s="6">
        <f t="shared" si="7"/>
        <v>5.1084099868594164</v>
      </c>
      <c r="I250" s="7">
        <v>251</v>
      </c>
      <c r="J250" s="7">
        <v>2</v>
      </c>
      <c r="K250" s="7">
        <v>1</v>
      </c>
      <c r="L250" s="7">
        <v>1</v>
      </c>
      <c r="M250" s="7">
        <v>0</v>
      </c>
      <c r="N250" s="7">
        <v>0</v>
      </c>
      <c r="O250" s="7">
        <v>2</v>
      </c>
      <c r="P250" s="7">
        <v>61.300919842313</v>
      </c>
      <c r="Q250" s="7"/>
      <c r="R250" s="7"/>
    </row>
    <row r="251" spans="1:18" x14ac:dyDescent="0.3">
      <c r="A251" s="7">
        <v>157</v>
      </c>
      <c r="B251" s="7">
        <v>33</v>
      </c>
      <c r="C251" s="7" t="s">
        <v>180</v>
      </c>
      <c r="D251" s="7">
        <v>0</v>
      </c>
      <c r="E251" s="7" t="s">
        <v>164</v>
      </c>
      <c r="F251" s="8" t="s">
        <v>19</v>
      </c>
      <c r="G251" s="9">
        <f t="shared" si="6"/>
        <v>93.035479632063002</v>
      </c>
      <c r="H251" s="6">
        <f t="shared" si="7"/>
        <v>7.7529566360052504</v>
      </c>
      <c r="I251" s="7">
        <v>323</v>
      </c>
      <c r="J251" s="7">
        <v>3</v>
      </c>
      <c r="K251" s="7">
        <v>1</v>
      </c>
      <c r="L251" s="7">
        <v>1</v>
      </c>
      <c r="M251" s="7">
        <v>1</v>
      </c>
      <c r="N251" s="7">
        <v>1</v>
      </c>
      <c r="O251" s="7">
        <v>2</v>
      </c>
      <c r="P251" s="7">
        <v>93.035479632063002</v>
      </c>
      <c r="Q251" s="7"/>
      <c r="R251" s="7"/>
    </row>
    <row r="252" spans="1:18" x14ac:dyDescent="0.3">
      <c r="A252" s="10">
        <v>158</v>
      </c>
      <c r="B252" s="10">
        <v>34</v>
      </c>
      <c r="C252" s="10" t="s">
        <v>181</v>
      </c>
      <c r="D252" s="10">
        <v>0</v>
      </c>
      <c r="E252" s="10" t="s">
        <v>18</v>
      </c>
      <c r="F252" s="11" t="s">
        <v>25</v>
      </c>
      <c r="G252" s="12">
        <f t="shared" si="6"/>
        <v>6.4388961892246996</v>
      </c>
      <c r="H252" s="6">
        <f t="shared" si="7"/>
        <v>0.53657468243539164</v>
      </c>
      <c r="I252" s="10">
        <v>144</v>
      </c>
      <c r="J252" s="10">
        <v>1</v>
      </c>
      <c r="K252" s="10">
        <v>1</v>
      </c>
      <c r="L252" s="10">
        <v>0</v>
      </c>
      <c r="M252" s="10">
        <v>1</v>
      </c>
      <c r="N252" s="10">
        <v>1</v>
      </c>
      <c r="O252" s="10">
        <v>3</v>
      </c>
      <c r="P252" s="10">
        <v>6.4388961892246996</v>
      </c>
      <c r="Q252" s="10"/>
      <c r="R252" s="10"/>
    </row>
    <row r="253" spans="1:18" x14ac:dyDescent="0.3">
      <c r="A253" s="10">
        <v>158</v>
      </c>
      <c r="B253" s="10">
        <v>34</v>
      </c>
      <c r="C253" s="10" t="s">
        <v>181</v>
      </c>
      <c r="D253" s="10">
        <v>0</v>
      </c>
      <c r="E253" s="10" t="s">
        <v>162</v>
      </c>
      <c r="F253" s="11" t="s">
        <v>25</v>
      </c>
      <c r="G253" s="12">
        <f t="shared" si="6"/>
        <v>92.312746386333998</v>
      </c>
      <c r="H253" s="6">
        <f t="shared" si="7"/>
        <v>7.6927288655278332</v>
      </c>
      <c r="I253" s="10">
        <v>289</v>
      </c>
      <c r="J253" s="10">
        <v>2</v>
      </c>
      <c r="K253" s="10">
        <v>1</v>
      </c>
      <c r="L253" s="10">
        <v>1</v>
      </c>
      <c r="M253" s="10">
        <v>1</v>
      </c>
      <c r="N253" s="10">
        <v>1</v>
      </c>
      <c r="O253" s="10">
        <v>3</v>
      </c>
      <c r="P253" s="10">
        <v>92.312746386333998</v>
      </c>
      <c r="Q253" s="10"/>
      <c r="R253" s="10"/>
    </row>
    <row r="254" spans="1:18" x14ac:dyDescent="0.3">
      <c r="A254" s="3">
        <v>159</v>
      </c>
      <c r="B254" s="3">
        <v>35</v>
      </c>
      <c r="C254" s="3" t="s">
        <v>182</v>
      </c>
      <c r="D254" s="3">
        <v>0</v>
      </c>
      <c r="E254" s="3" t="s">
        <v>18</v>
      </c>
      <c r="F254" s="4" t="s">
        <v>19</v>
      </c>
      <c r="G254" s="5">
        <f t="shared" si="6"/>
        <v>11.202365308804</v>
      </c>
      <c r="H254" s="6">
        <f t="shared" si="7"/>
        <v>0.93353044240033334</v>
      </c>
      <c r="I254" s="3">
        <v>145</v>
      </c>
      <c r="J254" s="3">
        <v>1</v>
      </c>
      <c r="K254" s="3">
        <v>1</v>
      </c>
      <c r="L254" s="3">
        <v>0</v>
      </c>
      <c r="M254" s="3">
        <v>1</v>
      </c>
      <c r="N254" s="3">
        <v>1</v>
      </c>
      <c r="O254" s="3">
        <v>1</v>
      </c>
      <c r="P254" s="3">
        <v>11.202365308804</v>
      </c>
      <c r="Q254" s="3"/>
      <c r="R254" s="3"/>
    </row>
    <row r="255" spans="1:18" x14ac:dyDescent="0.3">
      <c r="A255" s="3">
        <v>159</v>
      </c>
      <c r="B255" s="3">
        <v>35</v>
      </c>
      <c r="C255" s="3" t="s">
        <v>182</v>
      </c>
      <c r="D255" s="3">
        <v>0</v>
      </c>
      <c r="E255" s="3" t="s">
        <v>161</v>
      </c>
      <c r="F255" s="4" t="s">
        <v>19</v>
      </c>
      <c r="G255" s="5">
        <f t="shared" si="6"/>
        <v>65.341655716163004</v>
      </c>
      <c r="H255" s="6">
        <f t="shared" si="7"/>
        <v>5.445137976346917</v>
      </c>
      <c r="I255" s="3">
        <v>252</v>
      </c>
      <c r="J255" s="3">
        <v>2</v>
      </c>
      <c r="K255" s="3">
        <v>1</v>
      </c>
      <c r="L255" s="3">
        <v>1</v>
      </c>
      <c r="M255" s="3">
        <v>1</v>
      </c>
      <c r="N255" s="3">
        <v>1</v>
      </c>
      <c r="O255" s="3">
        <v>1</v>
      </c>
      <c r="P255" s="3">
        <v>65.341655716163004</v>
      </c>
      <c r="Q255" s="3"/>
      <c r="R255" s="3"/>
    </row>
    <row r="256" spans="1:18" hidden="1" x14ac:dyDescent="0.3">
      <c r="A256" s="3">
        <v>159</v>
      </c>
      <c r="B256" s="3">
        <v>0</v>
      </c>
      <c r="C256" s="3" t="s">
        <v>182</v>
      </c>
      <c r="D256" s="3">
        <v>0</v>
      </c>
      <c r="E256" s="3" t="s">
        <v>162</v>
      </c>
      <c r="F256" s="4" t="s">
        <v>19</v>
      </c>
      <c r="G256" s="5">
        <f t="shared" si="6"/>
        <v>84.362680683310998</v>
      </c>
      <c r="H256" s="6">
        <f t="shared" si="7"/>
        <v>7.0302233902759168</v>
      </c>
      <c r="I256" s="3">
        <v>290</v>
      </c>
      <c r="J256" s="3">
        <v>3</v>
      </c>
      <c r="K256" s="3">
        <v>1</v>
      </c>
      <c r="L256" s="3">
        <v>1</v>
      </c>
      <c r="M256" s="3">
        <v>0</v>
      </c>
      <c r="N256" s="3">
        <v>0</v>
      </c>
      <c r="O256" s="3">
        <v>1</v>
      </c>
      <c r="P256" s="3">
        <v>84.362680683310998</v>
      </c>
      <c r="Q256" s="3"/>
      <c r="R256" s="3"/>
    </row>
    <row r="257" spans="1:18" x14ac:dyDescent="0.3">
      <c r="A257" s="3">
        <v>159</v>
      </c>
      <c r="B257" s="3">
        <v>35</v>
      </c>
      <c r="C257" s="3" t="s">
        <v>182</v>
      </c>
      <c r="D257" s="3">
        <v>0</v>
      </c>
      <c r="E257" s="3" t="s">
        <v>164</v>
      </c>
      <c r="F257" s="4" t="s">
        <v>19</v>
      </c>
      <c r="G257" s="5">
        <f t="shared" si="6"/>
        <v>101.70827858081</v>
      </c>
      <c r="H257" s="6">
        <f t="shared" si="7"/>
        <v>8.4756898817341675</v>
      </c>
      <c r="I257" s="3">
        <v>324</v>
      </c>
      <c r="J257" s="3">
        <v>4</v>
      </c>
      <c r="K257" s="3">
        <v>1</v>
      </c>
      <c r="L257" s="3">
        <v>1</v>
      </c>
      <c r="M257" s="3">
        <v>1</v>
      </c>
      <c r="N257" s="3">
        <v>1</v>
      </c>
      <c r="O257" s="3">
        <v>1</v>
      </c>
      <c r="P257" s="3">
        <v>101.70827858081</v>
      </c>
      <c r="Q257" s="3"/>
      <c r="R257" s="3"/>
    </row>
    <row r="258" spans="1:18" x14ac:dyDescent="0.3">
      <c r="A258" s="7">
        <v>160</v>
      </c>
      <c r="B258" s="7">
        <v>36</v>
      </c>
      <c r="C258" s="7" t="s">
        <v>183</v>
      </c>
      <c r="D258" s="7">
        <v>0</v>
      </c>
      <c r="E258" s="7" t="s">
        <v>18</v>
      </c>
      <c r="F258" s="8" t="s">
        <v>25</v>
      </c>
      <c r="G258" s="9">
        <f t="shared" ref="G258:G321" si="8">MAX(P258:R258)</f>
        <v>7.3258869908016004</v>
      </c>
      <c r="H258" s="6">
        <f t="shared" ref="H258:H321" si="9">G258/12</f>
        <v>0.6104905825668</v>
      </c>
      <c r="I258" s="7">
        <v>148</v>
      </c>
      <c r="J258" s="7">
        <v>1</v>
      </c>
      <c r="K258" s="7">
        <v>1</v>
      </c>
      <c r="L258" s="7">
        <v>0</v>
      </c>
      <c r="M258" s="7">
        <v>1</v>
      </c>
      <c r="N258" s="7">
        <v>1</v>
      </c>
      <c r="O258" s="7">
        <v>2</v>
      </c>
      <c r="P258" s="7">
        <v>7.3258869908016004</v>
      </c>
      <c r="Q258" s="7"/>
      <c r="R258" s="7"/>
    </row>
    <row r="259" spans="1:18" x14ac:dyDescent="0.3">
      <c r="A259" s="7">
        <v>160</v>
      </c>
      <c r="B259" s="7">
        <v>36</v>
      </c>
      <c r="C259" s="7" t="s">
        <v>183</v>
      </c>
      <c r="D259" s="7">
        <v>0</v>
      </c>
      <c r="E259" s="7" t="s">
        <v>161</v>
      </c>
      <c r="F259" s="8" t="s">
        <v>25</v>
      </c>
      <c r="G259" s="9">
        <f t="shared" si="8"/>
        <v>61.136662286464997</v>
      </c>
      <c r="H259" s="6">
        <f t="shared" si="9"/>
        <v>5.0947218572054167</v>
      </c>
      <c r="I259" s="7">
        <v>253</v>
      </c>
      <c r="J259" s="7">
        <v>2</v>
      </c>
      <c r="K259" s="7">
        <v>1</v>
      </c>
      <c r="L259" s="7">
        <v>1</v>
      </c>
      <c r="M259" s="7">
        <v>1</v>
      </c>
      <c r="N259" s="7">
        <v>1</v>
      </c>
      <c r="O259" s="7">
        <v>2</v>
      </c>
      <c r="P259" s="7">
        <v>61.136662286464997</v>
      </c>
      <c r="Q259" s="7"/>
      <c r="R259" s="7"/>
    </row>
    <row r="260" spans="1:18" x14ac:dyDescent="0.3">
      <c r="A260" s="7">
        <v>160</v>
      </c>
      <c r="B260" s="7">
        <v>36</v>
      </c>
      <c r="C260" s="7" t="s">
        <v>183</v>
      </c>
      <c r="D260" s="7">
        <v>0</v>
      </c>
      <c r="E260" s="7" t="s">
        <v>162</v>
      </c>
      <c r="F260" s="8" t="s">
        <v>25</v>
      </c>
      <c r="G260" s="9">
        <f t="shared" si="8"/>
        <v>90.111695137976</v>
      </c>
      <c r="H260" s="6">
        <f t="shared" si="9"/>
        <v>7.5093079281646666</v>
      </c>
      <c r="I260" s="7">
        <v>291</v>
      </c>
      <c r="J260" s="7">
        <v>3</v>
      </c>
      <c r="K260" s="7">
        <v>1</v>
      </c>
      <c r="L260" s="7">
        <v>1</v>
      </c>
      <c r="M260" s="7">
        <v>1</v>
      </c>
      <c r="N260" s="7">
        <v>1</v>
      </c>
      <c r="O260" s="7">
        <v>2</v>
      </c>
      <c r="P260" s="7">
        <v>90.111695137976</v>
      </c>
      <c r="Q260" s="7"/>
      <c r="R260" s="7"/>
    </row>
    <row r="261" spans="1:18" x14ac:dyDescent="0.3">
      <c r="A261" s="10">
        <v>161</v>
      </c>
      <c r="B261" s="10">
        <v>37</v>
      </c>
      <c r="C261" s="10" t="s">
        <v>184</v>
      </c>
      <c r="D261" s="10">
        <v>0</v>
      </c>
      <c r="E261" s="10" t="s">
        <v>18</v>
      </c>
      <c r="F261" s="11" t="s">
        <v>25</v>
      </c>
      <c r="G261" s="12">
        <f t="shared" si="8"/>
        <v>6.5360819097678</v>
      </c>
      <c r="H261" s="6">
        <f t="shared" si="9"/>
        <v>0.54467349248065</v>
      </c>
      <c r="I261" s="10">
        <v>149</v>
      </c>
      <c r="J261" s="10">
        <v>1</v>
      </c>
      <c r="K261" s="10">
        <v>1</v>
      </c>
      <c r="L261" s="10">
        <v>0</v>
      </c>
      <c r="M261" s="10">
        <v>1</v>
      </c>
      <c r="N261" s="10">
        <v>1</v>
      </c>
      <c r="O261" s="10">
        <v>3</v>
      </c>
      <c r="P261" s="10">
        <v>6.0761607533947002</v>
      </c>
      <c r="Q261" s="10">
        <v>6.5360819097678</v>
      </c>
      <c r="R261" s="10"/>
    </row>
    <row r="262" spans="1:18" x14ac:dyDescent="0.3">
      <c r="A262" s="10">
        <v>161</v>
      </c>
      <c r="B262" s="10">
        <v>37</v>
      </c>
      <c r="C262" s="10" t="s">
        <v>184</v>
      </c>
      <c r="D262" s="10">
        <v>0</v>
      </c>
      <c r="E262" s="10" t="s">
        <v>161</v>
      </c>
      <c r="F262" s="11" t="s">
        <v>25</v>
      </c>
      <c r="G262" s="12">
        <f t="shared" si="8"/>
        <v>75.984176522119995</v>
      </c>
      <c r="H262" s="6">
        <f t="shared" si="9"/>
        <v>6.332014710176666</v>
      </c>
      <c r="I262" s="10">
        <v>254</v>
      </c>
      <c r="J262" s="10">
        <v>2</v>
      </c>
      <c r="K262" s="10">
        <v>1</v>
      </c>
      <c r="L262" s="10">
        <v>1</v>
      </c>
      <c r="M262" s="10">
        <v>1</v>
      </c>
      <c r="N262" s="10">
        <v>1</v>
      </c>
      <c r="O262" s="10">
        <v>3</v>
      </c>
      <c r="P262" s="10">
        <v>73.455978975032806</v>
      </c>
      <c r="Q262" s="10">
        <v>75.984176522119995</v>
      </c>
      <c r="R262" s="10"/>
    </row>
    <row r="263" spans="1:18" x14ac:dyDescent="0.3">
      <c r="A263" s="10">
        <v>161</v>
      </c>
      <c r="B263" s="10">
        <v>37</v>
      </c>
      <c r="C263" s="10" t="s">
        <v>184</v>
      </c>
      <c r="D263" s="10">
        <v>0</v>
      </c>
      <c r="E263" s="10" t="s">
        <v>162</v>
      </c>
      <c r="F263" s="11" t="s">
        <v>25</v>
      </c>
      <c r="G263" s="12">
        <f t="shared" si="8"/>
        <v>92.081416995181996</v>
      </c>
      <c r="H263" s="6">
        <f t="shared" si="9"/>
        <v>7.6734514162651664</v>
      </c>
      <c r="I263" s="10">
        <v>292</v>
      </c>
      <c r="J263" s="10">
        <v>3</v>
      </c>
      <c r="K263" s="10">
        <v>1</v>
      </c>
      <c r="L263" s="10">
        <v>1</v>
      </c>
      <c r="M263" s="10">
        <v>1</v>
      </c>
      <c r="N263" s="10">
        <v>1</v>
      </c>
      <c r="O263" s="10">
        <v>3</v>
      </c>
      <c r="P263" s="10">
        <v>92.081416995181996</v>
      </c>
      <c r="Q263" s="10"/>
      <c r="R263" s="10"/>
    </row>
    <row r="264" spans="1:18" hidden="1" x14ac:dyDescent="0.3">
      <c r="A264" s="10">
        <v>161</v>
      </c>
      <c r="B264" s="10">
        <v>0</v>
      </c>
      <c r="C264" s="10" t="s">
        <v>184</v>
      </c>
      <c r="D264" s="10">
        <v>0</v>
      </c>
      <c r="E264" s="10" t="s">
        <v>164</v>
      </c>
      <c r="F264" s="11" t="s">
        <v>25</v>
      </c>
      <c r="G264" s="12">
        <f t="shared" si="8"/>
        <v>124.275897941305</v>
      </c>
      <c r="H264" s="6">
        <f t="shared" si="9"/>
        <v>10.356324828442084</v>
      </c>
      <c r="I264" s="10">
        <v>325</v>
      </c>
      <c r="J264" s="10">
        <v>4</v>
      </c>
      <c r="K264" s="10">
        <v>1</v>
      </c>
      <c r="L264" s="10">
        <v>1</v>
      </c>
      <c r="M264" s="10">
        <v>0</v>
      </c>
      <c r="N264" s="10">
        <v>0</v>
      </c>
      <c r="O264" s="10">
        <v>3</v>
      </c>
      <c r="P264" s="10">
        <v>124.275897941305</v>
      </c>
      <c r="Q264" s="10"/>
      <c r="R264" s="10"/>
    </row>
    <row r="265" spans="1:18" x14ac:dyDescent="0.3">
      <c r="A265" s="3">
        <v>162</v>
      </c>
      <c r="B265" s="3">
        <v>38</v>
      </c>
      <c r="C265" s="3" t="s">
        <v>185</v>
      </c>
      <c r="D265" s="3">
        <v>0</v>
      </c>
      <c r="E265" s="3" t="s">
        <v>18</v>
      </c>
      <c r="F265" s="4" t="s">
        <v>25</v>
      </c>
      <c r="G265" s="5">
        <f t="shared" si="8"/>
        <v>6.5360819097678</v>
      </c>
      <c r="H265" s="6">
        <f t="shared" si="9"/>
        <v>0.54467349248065</v>
      </c>
      <c r="I265" s="3">
        <v>150</v>
      </c>
      <c r="J265" s="3">
        <v>1</v>
      </c>
      <c r="K265" s="3">
        <v>1</v>
      </c>
      <c r="L265" s="3">
        <v>0</v>
      </c>
      <c r="M265" s="3">
        <v>1</v>
      </c>
      <c r="N265" s="3">
        <v>1</v>
      </c>
      <c r="O265" s="3">
        <v>1</v>
      </c>
      <c r="P265" s="3">
        <v>6.0761607533947002</v>
      </c>
      <c r="Q265" s="3">
        <v>6.5360819097678</v>
      </c>
      <c r="R265" s="3"/>
    </row>
    <row r="266" spans="1:18" x14ac:dyDescent="0.3">
      <c r="A266" s="3">
        <v>162</v>
      </c>
      <c r="B266" s="3">
        <v>38</v>
      </c>
      <c r="C266" s="3" t="s">
        <v>185</v>
      </c>
      <c r="D266" s="3">
        <v>0</v>
      </c>
      <c r="E266" s="3" t="s">
        <v>161</v>
      </c>
      <c r="F266" s="4" t="s">
        <v>25</v>
      </c>
      <c r="G266" s="5">
        <f t="shared" si="8"/>
        <v>73.455978975033005</v>
      </c>
      <c r="H266" s="6">
        <f t="shared" si="9"/>
        <v>6.1213315812527505</v>
      </c>
      <c r="I266" s="3">
        <v>255</v>
      </c>
      <c r="J266" s="3">
        <v>2</v>
      </c>
      <c r="K266" s="3">
        <v>1</v>
      </c>
      <c r="L266" s="3">
        <v>1</v>
      </c>
      <c r="M266" s="3">
        <v>1</v>
      </c>
      <c r="N266" s="3">
        <v>1</v>
      </c>
      <c r="O266" s="3">
        <v>1</v>
      </c>
      <c r="P266" s="3">
        <v>73.455978975033005</v>
      </c>
      <c r="Q266" s="3"/>
      <c r="R266" s="3"/>
    </row>
    <row r="267" spans="1:18" x14ac:dyDescent="0.3">
      <c r="A267" s="3">
        <v>162</v>
      </c>
      <c r="B267" s="3">
        <v>38</v>
      </c>
      <c r="C267" s="3" t="s">
        <v>185</v>
      </c>
      <c r="D267" s="3">
        <v>0</v>
      </c>
      <c r="E267" s="3" t="s">
        <v>162</v>
      </c>
      <c r="F267" s="4" t="s">
        <v>25</v>
      </c>
      <c r="G267" s="5">
        <f t="shared" si="8"/>
        <v>92.081416995181996</v>
      </c>
      <c r="H267" s="6">
        <f t="shared" si="9"/>
        <v>7.6734514162651664</v>
      </c>
      <c r="I267" s="3">
        <v>293</v>
      </c>
      <c r="J267" s="3">
        <v>3</v>
      </c>
      <c r="K267" s="3">
        <v>1</v>
      </c>
      <c r="L267" s="3">
        <v>1</v>
      </c>
      <c r="M267" s="3">
        <v>1</v>
      </c>
      <c r="N267" s="3">
        <v>1</v>
      </c>
      <c r="O267" s="3">
        <v>1</v>
      </c>
      <c r="P267" s="3">
        <v>92.081416995181996</v>
      </c>
      <c r="Q267" s="3"/>
      <c r="R267" s="3"/>
    </row>
    <row r="268" spans="1:18" hidden="1" x14ac:dyDescent="0.3">
      <c r="A268" s="3">
        <v>162</v>
      </c>
      <c r="B268" s="3">
        <v>0</v>
      </c>
      <c r="C268" s="3" t="s">
        <v>185</v>
      </c>
      <c r="D268" s="3">
        <v>0</v>
      </c>
      <c r="E268" s="3" t="s">
        <v>164</v>
      </c>
      <c r="F268" s="4" t="s">
        <v>25</v>
      </c>
      <c r="G268" s="5">
        <f t="shared" si="8"/>
        <v>124.275897941305</v>
      </c>
      <c r="H268" s="6">
        <f t="shared" si="9"/>
        <v>10.356324828442084</v>
      </c>
      <c r="I268" s="3">
        <v>326</v>
      </c>
      <c r="J268" s="3">
        <v>4</v>
      </c>
      <c r="K268" s="3">
        <v>1</v>
      </c>
      <c r="L268" s="3">
        <v>1</v>
      </c>
      <c r="M268" s="3">
        <v>0</v>
      </c>
      <c r="N268" s="3">
        <v>0</v>
      </c>
      <c r="O268" s="3">
        <v>1</v>
      </c>
      <c r="P268" s="3">
        <v>124.275897941305</v>
      </c>
      <c r="Q268" s="3"/>
      <c r="R268" s="3"/>
    </row>
    <row r="269" spans="1:18" x14ac:dyDescent="0.3">
      <c r="A269" s="7">
        <v>163</v>
      </c>
      <c r="B269" s="7">
        <v>39</v>
      </c>
      <c r="C269" s="7" t="s">
        <v>186</v>
      </c>
      <c r="D269" s="7">
        <v>0</v>
      </c>
      <c r="E269" s="7" t="s">
        <v>18</v>
      </c>
      <c r="F269" s="8" t="s">
        <v>19</v>
      </c>
      <c r="G269" s="9">
        <f t="shared" si="8"/>
        <v>9.2641261498028999</v>
      </c>
      <c r="H269" s="6">
        <f t="shared" si="9"/>
        <v>0.772010512483575</v>
      </c>
      <c r="I269" s="7">
        <v>151</v>
      </c>
      <c r="J269" s="7">
        <v>1</v>
      </c>
      <c r="K269" s="7">
        <v>1</v>
      </c>
      <c r="L269" s="7">
        <v>0</v>
      </c>
      <c r="M269" s="7">
        <v>1</v>
      </c>
      <c r="N269" s="7">
        <v>1</v>
      </c>
      <c r="O269" s="7">
        <v>2</v>
      </c>
      <c r="P269" s="7">
        <v>9.2641261498028999</v>
      </c>
      <c r="Q269" s="7"/>
      <c r="R269" s="7"/>
    </row>
    <row r="270" spans="1:18" x14ac:dyDescent="0.3">
      <c r="A270" s="7">
        <v>163</v>
      </c>
      <c r="B270" s="7">
        <v>39</v>
      </c>
      <c r="C270" s="7" t="s">
        <v>186</v>
      </c>
      <c r="D270" s="7">
        <v>0</v>
      </c>
      <c r="E270" s="7" t="s">
        <v>161</v>
      </c>
      <c r="F270" s="8" t="s">
        <v>19</v>
      </c>
      <c r="G270" s="9">
        <f t="shared" si="8"/>
        <v>62.385019710907002</v>
      </c>
      <c r="H270" s="6">
        <f t="shared" si="9"/>
        <v>5.1987516425755835</v>
      </c>
      <c r="I270" s="7">
        <v>256</v>
      </c>
      <c r="J270" s="7">
        <v>2</v>
      </c>
      <c r="K270" s="7">
        <v>1</v>
      </c>
      <c r="L270" s="7">
        <v>1</v>
      </c>
      <c r="M270" s="7">
        <v>1</v>
      </c>
      <c r="N270" s="7">
        <v>1</v>
      </c>
      <c r="O270" s="7">
        <v>2</v>
      </c>
      <c r="P270" s="7">
        <v>62.385019710907002</v>
      </c>
      <c r="Q270" s="7"/>
      <c r="R270" s="7"/>
    </row>
    <row r="271" spans="1:18" x14ac:dyDescent="0.3">
      <c r="A271" s="7">
        <v>163</v>
      </c>
      <c r="B271" s="7">
        <v>39</v>
      </c>
      <c r="C271" s="7" t="s">
        <v>186</v>
      </c>
      <c r="D271" s="7">
        <v>0</v>
      </c>
      <c r="E271" s="7" t="s">
        <v>162</v>
      </c>
      <c r="F271" s="8" t="s">
        <v>19</v>
      </c>
      <c r="G271" s="9">
        <f t="shared" si="8"/>
        <v>92.017082785808</v>
      </c>
      <c r="H271" s="6">
        <f t="shared" si="9"/>
        <v>7.668090232150667</v>
      </c>
      <c r="I271" s="7">
        <v>294</v>
      </c>
      <c r="J271" s="7">
        <v>3</v>
      </c>
      <c r="K271" s="7">
        <v>1</v>
      </c>
      <c r="L271" s="7">
        <v>1</v>
      </c>
      <c r="M271" s="7">
        <v>1</v>
      </c>
      <c r="N271" s="7">
        <v>1</v>
      </c>
      <c r="O271" s="7">
        <v>2</v>
      </c>
      <c r="P271" s="7">
        <v>92.017082785808</v>
      </c>
      <c r="Q271" s="7"/>
      <c r="R271" s="7"/>
    </row>
    <row r="272" spans="1:18" x14ac:dyDescent="0.3">
      <c r="A272" s="10">
        <v>164</v>
      </c>
      <c r="B272" s="10">
        <v>40</v>
      </c>
      <c r="C272" s="10" t="s">
        <v>187</v>
      </c>
      <c r="D272" s="10">
        <v>0</v>
      </c>
      <c r="E272" s="10" t="s">
        <v>18</v>
      </c>
      <c r="F272" s="11" t="s">
        <v>25</v>
      </c>
      <c r="G272" s="12">
        <f t="shared" si="8"/>
        <v>8.0157687253614007</v>
      </c>
      <c r="H272" s="6">
        <f t="shared" si="9"/>
        <v>0.66798072711345002</v>
      </c>
      <c r="I272" s="10">
        <v>152</v>
      </c>
      <c r="J272" s="10">
        <v>1</v>
      </c>
      <c r="K272" s="10">
        <v>1</v>
      </c>
      <c r="L272" s="10">
        <v>0</v>
      </c>
      <c r="M272" s="10">
        <v>1</v>
      </c>
      <c r="N272" s="10">
        <v>1</v>
      </c>
      <c r="O272" s="10">
        <v>3</v>
      </c>
      <c r="P272" s="10">
        <v>8.0157687253614007</v>
      </c>
      <c r="Q272" s="10"/>
      <c r="R272" s="10"/>
    </row>
    <row r="273" spans="1:18" x14ac:dyDescent="0.3">
      <c r="A273" s="10">
        <v>164</v>
      </c>
      <c r="B273" s="10">
        <v>40</v>
      </c>
      <c r="C273" s="10" t="s">
        <v>187</v>
      </c>
      <c r="D273" s="10">
        <v>0</v>
      </c>
      <c r="E273" s="10" t="s">
        <v>161</v>
      </c>
      <c r="F273" s="11" t="s">
        <v>25</v>
      </c>
      <c r="G273" s="12">
        <f t="shared" si="8"/>
        <v>59.625492772667997</v>
      </c>
      <c r="H273" s="6">
        <f t="shared" si="9"/>
        <v>4.9687910643889994</v>
      </c>
      <c r="I273" s="10">
        <v>257</v>
      </c>
      <c r="J273" s="10">
        <v>2</v>
      </c>
      <c r="K273" s="10">
        <v>1</v>
      </c>
      <c r="L273" s="10">
        <v>1</v>
      </c>
      <c r="M273" s="10">
        <v>1</v>
      </c>
      <c r="N273" s="10">
        <v>1</v>
      </c>
      <c r="O273" s="10">
        <v>3</v>
      </c>
      <c r="P273" s="10">
        <v>59.625492772667997</v>
      </c>
      <c r="Q273" s="10"/>
      <c r="R273" s="10"/>
    </row>
    <row r="274" spans="1:18" x14ac:dyDescent="0.3">
      <c r="A274" s="10">
        <v>164</v>
      </c>
      <c r="B274" s="10">
        <v>40</v>
      </c>
      <c r="C274" s="10" t="s">
        <v>187</v>
      </c>
      <c r="D274" s="10">
        <v>0</v>
      </c>
      <c r="E274" s="10" t="s">
        <v>162</v>
      </c>
      <c r="F274" s="11" t="s">
        <v>25</v>
      </c>
      <c r="G274" s="12">
        <f t="shared" si="8"/>
        <v>90.013140604468006</v>
      </c>
      <c r="H274" s="6">
        <f t="shared" si="9"/>
        <v>7.5010950503723341</v>
      </c>
      <c r="I274" s="10">
        <v>295</v>
      </c>
      <c r="J274" s="10">
        <v>3</v>
      </c>
      <c r="K274" s="10">
        <v>1</v>
      </c>
      <c r="L274" s="10">
        <v>1</v>
      </c>
      <c r="M274" s="10">
        <v>1</v>
      </c>
      <c r="N274" s="10">
        <v>1</v>
      </c>
      <c r="O274" s="10">
        <v>3</v>
      </c>
      <c r="P274" s="10">
        <v>90.013140604468006</v>
      </c>
      <c r="Q274" s="10"/>
      <c r="R274" s="10"/>
    </row>
    <row r="275" spans="1:18" hidden="1" x14ac:dyDescent="0.3">
      <c r="A275" s="10">
        <v>164</v>
      </c>
      <c r="B275" s="10">
        <v>0</v>
      </c>
      <c r="C275" s="10" t="s">
        <v>187</v>
      </c>
      <c r="D275" s="10">
        <v>0</v>
      </c>
      <c r="E275" s="10" t="s">
        <v>164</v>
      </c>
      <c r="F275" s="11" t="s">
        <v>25</v>
      </c>
      <c r="G275" s="12">
        <f t="shared" si="8"/>
        <v>121.84625492772599</v>
      </c>
      <c r="H275" s="6">
        <f t="shared" si="9"/>
        <v>10.153854577310499</v>
      </c>
      <c r="I275" s="10">
        <v>327</v>
      </c>
      <c r="J275" s="10">
        <v>4</v>
      </c>
      <c r="K275" s="10">
        <v>1</v>
      </c>
      <c r="L275" s="10">
        <v>1</v>
      </c>
      <c r="M275" s="10">
        <v>0</v>
      </c>
      <c r="N275" s="10">
        <v>0</v>
      </c>
      <c r="O275" s="10">
        <v>3</v>
      </c>
      <c r="P275" s="10">
        <v>121.84625492772599</v>
      </c>
      <c r="Q275" s="10"/>
      <c r="R275" s="10"/>
    </row>
    <row r="276" spans="1:18" x14ac:dyDescent="0.3">
      <c r="A276" s="3">
        <v>165</v>
      </c>
      <c r="B276" s="3">
        <v>41</v>
      </c>
      <c r="C276" s="3" t="s">
        <v>188</v>
      </c>
      <c r="D276" s="3">
        <v>0</v>
      </c>
      <c r="E276" s="3" t="s">
        <v>18</v>
      </c>
      <c r="F276" s="4" t="s">
        <v>25</v>
      </c>
      <c r="G276" s="5">
        <f t="shared" si="8"/>
        <v>9.9540078843626993</v>
      </c>
      <c r="H276" s="6">
        <f t="shared" si="9"/>
        <v>0.82950065703022491</v>
      </c>
      <c r="I276" s="3">
        <v>153</v>
      </c>
      <c r="J276" s="3">
        <v>1</v>
      </c>
      <c r="K276" s="3">
        <v>1</v>
      </c>
      <c r="L276" s="3">
        <v>0</v>
      </c>
      <c r="M276" s="3">
        <v>1</v>
      </c>
      <c r="N276" s="3">
        <v>1</v>
      </c>
      <c r="O276" s="3">
        <v>1</v>
      </c>
      <c r="P276" s="3">
        <v>9.9540078843626993</v>
      </c>
      <c r="Q276" s="3"/>
      <c r="R276" s="3"/>
    </row>
    <row r="277" spans="1:18" x14ac:dyDescent="0.3">
      <c r="A277" s="3">
        <v>165</v>
      </c>
      <c r="B277" s="3">
        <v>41</v>
      </c>
      <c r="C277" s="3" t="s">
        <v>188</v>
      </c>
      <c r="D277" s="3">
        <v>0</v>
      </c>
      <c r="E277" s="3" t="s">
        <v>161</v>
      </c>
      <c r="F277" s="4" t="s">
        <v>25</v>
      </c>
      <c r="G277" s="5">
        <f t="shared" si="8"/>
        <v>61.269437144108998</v>
      </c>
      <c r="H277" s="6">
        <f t="shared" si="9"/>
        <v>5.1057864286757502</v>
      </c>
      <c r="I277" s="3">
        <v>258</v>
      </c>
      <c r="J277" s="3">
        <v>2</v>
      </c>
      <c r="K277" s="3">
        <v>1</v>
      </c>
      <c r="L277" s="3">
        <v>1</v>
      </c>
      <c r="M277" s="3">
        <v>1</v>
      </c>
      <c r="N277" s="3">
        <v>1</v>
      </c>
      <c r="O277" s="3">
        <v>1</v>
      </c>
      <c r="P277" s="3">
        <v>61.269437144108998</v>
      </c>
      <c r="Q277" s="3"/>
      <c r="R277" s="3"/>
    </row>
    <row r="278" spans="1:18" hidden="1" x14ac:dyDescent="0.3">
      <c r="A278" s="3">
        <v>165</v>
      </c>
      <c r="B278" s="3">
        <v>0</v>
      </c>
      <c r="C278" s="3" t="s">
        <v>188</v>
      </c>
      <c r="D278" s="3">
        <v>0</v>
      </c>
      <c r="E278" s="3" t="s">
        <v>164</v>
      </c>
      <c r="F278" s="4" t="s">
        <v>25</v>
      </c>
      <c r="G278" s="5">
        <f t="shared" si="8"/>
        <v>124.081526500219</v>
      </c>
      <c r="H278" s="6">
        <f t="shared" si="9"/>
        <v>10.340127208351584</v>
      </c>
      <c r="I278" s="3">
        <v>328</v>
      </c>
      <c r="J278" s="3">
        <v>3</v>
      </c>
      <c r="K278" s="3">
        <v>1</v>
      </c>
      <c r="L278" s="3">
        <v>1</v>
      </c>
      <c r="M278" s="3">
        <v>0</v>
      </c>
      <c r="N278" s="3">
        <v>0</v>
      </c>
      <c r="O278" s="3">
        <v>1</v>
      </c>
      <c r="P278" s="3">
        <v>124.081526500219</v>
      </c>
      <c r="Q278" s="3"/>
      <c r="R278" s="3"/>
    </row>
    <row r="279" spans="1:18" x14ac:dyDescent="0.3">
      <c r="A279" s="7">
        <v>166</v>
      </c>
      <c r="B279" s="7">
        <v>42</v>
      </c>
      <c r="C279" s="7" t="s">
        <v>189</v>
      </c>
      <c r="D279" s="7">
        <v>0</v>
      </c>
      <c r="E279" s="7" t="s">
        <v>18</v>
      </c>
      <c r="F279" s="8" t="s">
        <v>25</v>
      </c>
      <c r="G279" s="9">
        <f t="shared" si="8"/>
        <v>17.247043363995001</v>
      </c>
      <c r="H279" s="6">
        <f t="shared" si="9"/>
        <v>1.4372536136662502</v>
      </c>
      <c r="I279" s="7">
        <v>154</v>
      </c>
      <c r="J279" s="7">
        <v>1</v>
      </c>
      <c r="K279" s="7">
        <v>1</v>
      </c>
      <c r="L279" s="7">
        <v>0</v>
      </c>
      <c r="M279" s="7">
        <v>1</v>
      </c>
      <c r="N279" s="7">
        <v>1</v>
      </c>
      <c r="O279" s="7">
        <v>2</v>
      </c>
      <c r="P279" s="7">
        <v>17.247043363995001</v>
      </c>
      <c r="Q279" s="7"/>
      <c r="R279" s="7"/>
    </row>
    <row r="280" spans="1:18" x14ac:dyDescent="0.3">
      <c r="A280" s="7">
        <v>166</v>
      </c>
      <c r="B280" s="7">
        <v>42</v>
      </c>
      <c r="C280" s="7" t="s">
        <v>189</v>
      </c>
      <c r="D280" s="7">
        <v>0</v>
      </c>
      <c r="E280" s="7" t="s">
        <v>161</v>
      </c>
      <c r="F280" s="8" t="s">
        <v>25</v>
      </c>
      <c r="G280" s="9">
        <f t="shared" si="8"/>
        <v>68.232588699079997</v>
      </c>
      <c r="H280" s="6">
        <f t="shared" si="9"/>
        <v>5.6860490582566667</v>
      </c>
      <c r="I280" s="7">
        <v>259</v>
      </c>
      <c r="J280" s="7">
        <v>2</v>
      </c>
      <c r="K280" s="7">
        <v>1</v>
      </c>
      <c r="L280" s="7">
        <v>1</v>
      </c>
      <c r="M280" s="7">
        <v>1</v>
      </c>
      <c r="N280" s="7">
        <v>1</v>
      </c>
      <c r="O280" s="7">
        <v>2</v>
      </c>
      <c r="P280" s="7">
        <v>68.232588699079997</v>
      </c>
      <c r="Q280" s="7"/>
      <c r="R280" s="7"/>
    </row>
    <row r="281" spans="1:18" x14ac:dyDescent="0.3">
      <c r="A281" s="7">
        <v>166</v>
      </c>
      <c r="B281" s="7">
        <v>42</v>
      </c>
      <c r="C281" s="7" t="s">
        <v>189</v>
      </c>
      <c r="D281" s="7">
        <v>0</v>
      </c>
      <c r="E281" s="7" t="s">
        <v>162</v>
      </c>
      <c r="F281" s="8" t="s">
        <v>25</v>
      </c>
      <c r="G281" s="9">
        <f t="shared" si="8"/>
        <v>84.954007884362994</v>
      </c>
      <c r="H281" s="6">
        <f t="shared" si="9"/>
        <v>7.0795006570302492</v>
      </c>
      <c r="I281" s="7">
        <v>296</v>
      </c>
      <c r="J281" s="7">
        <v>3</v>
      </c>
      <c r="K281" s="7">
        <v>1</v>
      </c>
      <c r="L281" s="7">
        <v>1</v>
      </c>
      <c r="M281" s="7">
        <v>1</v>
      </c>
      <c r="N281" s="7">
        <v>1</v>
      </c>
      <c r="O281" s="7">
        <v>2</v>
      </c>
      <c r="P281" s="7">
        <v>84.954007884362994</v>
      </c>
      <c r="Q281" s="7"/>
      <c r="R281" s="7"/>
    </row>
    <row r="282" spans="1:18" x14ac:dyDescent="0.3">
      <c r="A282" s="7">
        <v>166</v>
      </c>
      <c r="B282" s="7">
        <v>42</v>
      </c>
      <c r="C282" s="7" t="s">
        <v>189</v>
      </c>
      <c r="D282" s="7">
        <v>0</v>
      </c>
      <c r="E282" s="7" t="s">
        <v>164</v>
      </c>
      <c r="F282" s="8" t="s">
        <v>25</v>
      </c>
      <c r="G282" s="9">
        <f t="shared" si="8"/>
        <v>99.967148488830006</v>
      </c>
      <c r="H282" s="6">
        <f t="shared" si="9"/>
        <v>8.3305957074024999</v>
      </c>
      <c r="I282" s="7">
        <v>329</v>
      </c>
      <c r="J282" s="7">
        <v>4</v>
      </c>
      <c r="K282" s="7">
        <v>1</v>
      </c>
      <c r="L282" s="7">
        <v>1</v>
      </c>
      <c r="M282" s="7">
        <v>1</v>
      </c>
      <c r="N282" s="7">
        <v>1</v>
      </c>
      <c r="O282" s="7">
        <v>2</v>
      </c>
      <c r="P282" s="7">
        <v>99.967148488830006</v>
      </c>
      <c r="Q282" s="7"/>
      <c r="R282" s="7"/>
    </row>
    <row r="283" spans="1:18" x14ac:dyDescent="0.3">
      <c r="A283" s="10">
        <v>167</v>
      </c>
      <c r="B283" s="10">
        <v>43</v>
      </c>
      <c r="C283" s="10" t="s">
        <v>190</v>
      </c>
      <c r="D283" s="10">
        <v>0</v>
      </c>
      <c r="E283" s="10" t="s">
        <v>18</v>
      </c>
      <c r="F283" s="11" t="s">
        <v>19</v>
      </c>
      <c r="G283" s="12">
        <f t="shared" si="8"/>
        <v>17.674113009197999</v>
      </c>
      <c r="H283" s="6">
        <f t="shared" si="9"/>
        <v>1.4728427507664998</v>
      </c>
      <c r="I283" s="10">
        <v>156</v>
      </c>
      <c r="J283" s="10">
        <v>1</v>
      </c>
      <c r="K283" s="10">
        <v>1</v>
      </c>
      <c r="L283" s="10">
        <v>0</v>
      </c>
      <c r="M283" s="10">
        <v>1</v>
      </c>
      <c r="N283" s="10">
        <v>1</v>
      </c>
      <c r="O283" s="10">
        <v>3</v>
      </c>
      <c r="P283" s="10">
        <v>17.674113009197999</v>
      </c>
      <c r="Q283" s="10"/>
      <c r="R283" s="10"/>
    </row>
    <row r="284" spans="1:18" x14ac:dyDescent="0.3">
      <c r="A284" s="10">
        <v>167</v>
      </c>
      <c r="B284" s="10">
        <v>43</v>
      </c>
      <c r="C284" s="10" t="s">
        <v>190</v>
      </c>
      <c r="D284" s="10">
        <v>0</v>
      </c>
      <c r="E284" s="10" t="s">
        <v>161</v>
      </c>
      <c r="F284" s="11" t="s">
        <v>19</v>
      </c>
      <c r="G284" s="12">
        <f t="shared" si="8"/>
        <v>69.218134034165999</v>
      </c>
      <c r="H284" s="6">
        <f t="shared" si="9"/>
        <v>5.7681778361804996</v>
      </c>
      <c r="I284" s="10">
        <v>260</v>
      </c>
      <c r="J284" s="10">
        <v>2</v>
      </c>
      <c r="K284" s="10">
        <v>1</v>
      </c>
      <c r="L284" s="10">
        <v>1</v>
      </c>
      <c r="M284" s="10">
        <v>1</v>
      </c>
      <c r="N284" s="10">
        <v>1</v>
      </c>
      <c r="O284" s="10">
        <v>3</v>
      </c>
      <c r="P284" s="10">
        <v>69.218134034165999</v>
      </c>
      <c r="Q284" s="10"/>
      <c r="R284" s="10"/>
    </row>
    <row r="285" spans="1:18" x14ac:dyDescent="0.3">
      <c r="A285" s="10">
        <v>167</v>
      </c>
      <c r="B285" s="10">
        <v>43</v>
      </c>
      <c r="C285" s="10" t="s">
        <v>190</v>
      </c>
      <c r="D285" s="10">
        <v>0</v>
      </c>
      <c r="E285" s="10" t="s">
        <v>162</v>
      </c>
      <c r="F285" s="11" t="s">
        <v>19</v>
      </c>
      <c r="G285" s="12">
        <f t="shared" si="8"/>
        <v>87.056504599212005</v>
      </c>
      <c r="H285" s="6">
        <f t="shared" si="9"/>
        <v>7.2547087166010007</v>
      </c>
      <c r="I285" s="10">
        <v>297</v>
      </c>
      <c r="J285" s="10">
        <v>3</v>
      </c>
      <c r="K285" s="10">
        <v>1</v>
      </c>
      <c r="L285" s="10">
        <v>1</v>
      </c>
      <c r="M285" s="10">
        <v>1</v>
      </c>
      <c r="N285" s="10">
        <v>1</v>
      </c>
      <c r="O285" s="10">
        <v>3</v>
      </c>
      <c r="P285" s="10">
        <v>87.056504599212005</v>
      </c>
      <c r="Q285" s="10"/>
      <c r="R285" s="10"/>
    </row>
    <row r="286" spans="1:18" x14ac:dyDescent="0.3">
      <c r="A286" s="10">
        <v>167</v>
      </c>
      <c r="B286" s="10">
        <v>43</v>
      </c>
      <c r="C286" s="10" t="s">
        <v>190</v>
      </c>
      <c r="D286" s="10">
        <v>0</v>
      </c>
      <c r="E286" s="10" t="s">
        <v>164</v>
      </c>
      <c r="F286" s="11" t="s">
        <v>19</v>
      </c>
      <c r="G286" s="12">
        <f t="shared" si="8"/>
        <v>98.390275952693997</v>
      </c>
      <c r="H286" s="6">
        <f t="shared" si="9"/>
        <v>8.1991896627244998</v>
      </c>
      <c r="I286" s="10">
        <v>330</v>
      </c>
      <c r="J286" s="10">
        <v>4</v>
      </c>
      <c r="K286" s="10">
        <v>1</v>
      </c>
      <c r="L286" s="10">
        <v>1</v>
      </c>
      <c r="M286" s="10">
        <v>1</v>
      </c>
      <c r="N286" s="10">
        <v>1</v>
      </c>
      <c r="O286" s="10">
        <v>3</v>
      </c>
      <c r="P286" s="10">
        <v>98.390275952693997</v>
      </c>
      <c r="Q286" s="10"/>
      <c r="R286" s="10"/>
    </row>
    <row r="287" spans="1:18" x14ac:dyDescent="0.3">
      <c r="A287" s="3">
        <v>168</v>
      </c>
      <c r="B287" s="3">
        <v>44</v>
      </c>
      <c r="C287" s="3" t="s">
        <v>191</v>
      </c>
      <c r="D287" s="3">
        <v>0</v>
      </c>
      <c r="E287" s="3" t="s">
        <v>18</v>
      </c>
      <c r="F287" s="4" t="s">
        <v>25</v>
      </c>
      <c r="G287" s="5">
        <f t="shared" si="8"/>
        <v>7.5886990801577001</v>
      </c>
      <c r="H287" s="6">
        <f t="shared" si="9"/>
        <v>0.63239159001314171</v>
      </c>
      <c r="I287" s="3">
        <v>160</v>
      </c>
      <c r="J287" s="3">
        <v>1</v>
      </c>
      <c r="K287" s="3">
        <v>1</v>
      </c>
      <c r="L287" s="3">
        <v>0</v>
      </c>
      <c r="M287" s="3">
        <v>1</v>
      </c>
      <c r="N287" s="3">
        <v>1</v>
      </c>
      <c r="O287" s="3">
        <v>1</v>
      </c>
      <c r="P287" s="3">
        <v>7.5886990801577001</v>
      </c>
      <c r="Q287" s="3"/>
      <c r="R287" s="3"/>
    </row>
    <row r="288" spans="1:18" x14ac:dyDescent="0.3">
      <c r="A288" s="3">
        <v>168</v>
      </c>
      <c r="B288" s="3">
        <v>44</v>
      </c>
      <c r="C288" s="3" t="s">
        <v>191</v>
      </c>
      <c r="D288" s="3">
        <v>0</v>
      </c>
      <c r="E288" s="3" t="s">
        <v>161</v>
      </c>
      <c r="F288" s="4" t="s">
        <v>25</v>
      </c>
      <c r="G288" s="5">
        <f t="shared" si="8"/>
        <v>61.925098554534003</v>
      </c>
      <c r="H288" s="6">
        <f t="shared" si="9"/>
        <v>5.1604248795445002</v>
      </c>
      <c r="I288" s="3">
        <v>261</v>
      </c>
      <c r="J288" s="3">
        <v>2</v>
      </c>
      <c r="K288" s="3">
        <v>1</v>
      </c>
      <c r="L288" s="3">
        <v>1</v>
      </c>
      <c r="M288" s="3">
        <v>1</v>
      </c>
      <c r="N288" s="3">
        <v>1</v>
      </c>
      <c r="O288" s="3">
        <v>1</v>
      </c>
      <c r="P288" s="3">
        <v>61.925098554534003</v>
      </c>
      <c r="Q288" s="3"/>
      <c r="R288" s="3"/>
    </row>
    <row r="289" spans="1:18" x14ac:dyDescent="0.3">
      <c r="A289" s="3">
        <v>168</v>
      </c>
      <c r="B289" s="3">
        <v>44</v>
      </c>
      <c r="C289" s="3" t="s">
        <v>191</v>
      </c>
      <c r="D289" s="3">
        <v>0</v>
      </c>
      <c r="E289" s="3" t="s">
        <v>162</v>
      </c>
      <c r="F289" s="4" t="s">
        <v>25</v>
      </c>
      <c r="G289" s="5">
        <f t="shared" si="8"/>
        <v>84.559789750329003</v>
      </c>
      <c r="H289" s="6">
        <f t="shared" si="9"/>
        <v>7.0466491458607505</v>
      </c>
      <c r="I289" s="3">
        <v>298</v>
      </c>
      <c r="J289" s="3">
        <v>3</v>
      </c>
      <c r="K289" s="3">
        <v>1</v>
      </c>
      <c r="L289" s="3">
        <v>1</v>
      </c>
      <c r="M289" s="3">
        <v>1</v>
      </c>
      <c r="N289" s="3">
        <v>1</v>
      </c>
      <c r="O289" s="3">
        <v>1</v>
      </c>
      <c r="P289" s="3">
        <v>84.559789750329003</v>
      </c>
      <c r="Q289" s="3"/>
      <c r="R289" s="3"/>
    </row>
    <row r="290" spans="1:18" x14ac:dyDescent="0.3">
      <c r="A290" s="7">
        <v>169</v>
      </c>
      <c r="B290" s="7">
        <v>45</v>
      </c>
      <c r="C290" s="7" t="s">
        <v>192</v>
      </c>
      <c r="D290" s="7">
        <v>0</v>
      </c>
      <c r="E290" s="7" t="s">
        <v>18</v>
      </c>
      <c r="F290" s="8" t="s">
        <v>25</v>
      </c>
      <c r="G290" s="9">
        <f t="shared" si="8"/>
        <v>9.6583442838370992</v>
      </c>
      <c r="H290" s="6">
        <f t="shared" si="9"/>
        <v>0.80486202365309156</v>
      </c>
      <c r="I290" s="7">
        <v>161</v>
      </c>
      <c r="J290" s="7">
        <v>1</v>
      </c>
      <c r="K290" s="7">
        <v>1</v>
      </c>
      <c r="L290" s="7">
        <v>0</v>
      </c>
      <c r="M290" s="7">
        <v>1</v>
      </c>
      <c r="N290" s="7">
        <v>1</v>
      </c>
      <c r="O290" s="7">
        <v>2</v>
      </c>
      <c r="P290" s="7">
        <v>9.6583442838370992</v>
      </c>
      <c r="Q290" s="7"/>
      <c r="R290" s="7"/>
    </row>
    <row r="291" spans="1:18" x14ac:dyDescent="0.3">
      <c r="A291" s="7">
        <v>169</v>
      </c>
      <c r="B291" s="7">
        <v>45</v>
      </c>
      <c r="C291" s="7" t="s">
        <v>192</v>
      </c>
      <c r="D291" s="7">
        <v>0</v>
      </c>
      <c r="E291" s="7" t="s">
        <v>162</v>
      </c>
      <c r="F291" s="8" t="s">
        <v>25</v>
      </c>
      <c r="G291" s="9">
        <f t="shared" si="8"/>
        <v>77.432380639509006</v>
      </c>
      <c r="H291" s="6">
        <f t="shared" si="9"/>
        <v>6.4526983866257508</v>
      </c>
      <c r="I291" s="7">
        <v>299</v>
      </c>
      <c r="J291" s="7">
        <v>2</v>
      </c>
      <c r="K291" s="7">
        <v>1</v>
      </c>
      <c r="L291" s="7">
        <v>1</v>
      </c>
      <c r="M291" s="7">
        <v>1</v>
      </c>
      <c r="N291" s="7">
        <v>1</v>
      </c>
      <c r="O291" s="7">
        <v>2</v>
      </c>
      <c r="P291" s="7">
        <v>77.432380639509006</v>
      </c>
      <c r="Q291" s="7"/>
      <c r="R291" s="7"/>
    </row>
    <row r="292" spans="1:18" x14ac:dyDescent="0.3">
      <c r="A292" s="10">
        <v>170</v>
      </c>
      <c r="B292" s="10">
        <v>46</v>
      </c>
      <c r="C292" s="10" t="s">
        <v>193</v>
      </c>
      <c r="D292" s="10">
        <v>0</v>
      </c>
      <c r="E292" s="10" t="s">
        <v>18</v>
      </c>
      <c r="F292" s="11" t="s">
        <v>19</v>
      </c>
      <c r="G292" s="12">
        <f t="shared" si="8"/>
        <v>5.1576872536137</v>
      </c>
      <c r="H292" s="6">
        <f t="shared" si="9"/>
        <v>0.42980727113447498</v>
      </c>
      <c r="I292" s="10">
        <v>162</v>
      </c>
      <c r="J292" s="10">
        <v>1</v>
      </c>
      <c r="K292" s="10">
        <v>1</v>
      </c>
      <c r="L292" s="10">
        <v>0</v>
      </c>
      <c r="M292" s="10">
        <v>1</v>
      </c>
      <c r="N292" s="10">
        <v>1</v>
      </c>
      <c r="O292" s="10">
        <v>3</v>
      </c>
      <c r="P292" s="10">
        <v>5.1576872536137</v>
      </c>
      <c r="Q292" s="10"/>
      <c r="R292" s="10"/>
    </row>
    <row r="293" spans="1:18" x14ac:dyDescent="0.3">
      <c r="A293" s="10">
        <v>170</v>
      </c>
      <c r="B293" s="10">
        <v>46</v>
      </c>
      <c r="C293" s="10" t="s">
        <v>193</v>
      </c>
      <c r="D293" s="10">
        <v>0</v>
      </c>
      <c r="E293" s="10" t="s">
        <v>162</v>
      </c>
      <c r="F293" s="11" t="s">
        <v>19</v>
      </c>
      <c r="G293" s="12">
        <f t="shared" si="8"/>
        <v>77.595269382392004</v>
      </c>
      <c r="H293" s="6">
        <f t="shared" si="9"/>
        <v>6.466272448532667</v>
      </c>
      <c r="I293" s="10">
        <v>300</v>
      </c>
      <c r="J293" s="10">
        <v>2</v>
      </c>
      <c r="K293" s="10">
        <v>1</v>
      </c>
      <c r="L293" s="10">
        <v>1</v>
      </c>
      <c r="M293" s="10">
        <v>1</v>
      </c>
      <c r="N293" s="10">
        <v>1</v>
      </c>
      <c r="O293" s="10">
        <v>3</v>
      </c>
      <c r="P293" s="10">
        <v>77.595269382392004</v>
      </c>
      <c r="Q293" s="10"/>
      <c r="R293" s="10"/>
    </row>
    <row r="294" spans="1:18" x14ac:dyDescent="0.3">
      <c r="A294" s="3">
        <v>171</v>
      </c>
      <c r="B294" s="3">
        <v>47</v>
      </c>
      <c r="C294" s="3" t="s">
        <v>194</v>
      </c>
      <c r="D294" s="3">
        <v>0</v>
      </c>
      <c r="E294" s="3" t="s">
        <v>18</v>
      </c>
      <c r="F294" s="4" t="s">
        <v>25</v>
      </c>
      <c r="G294" s="5">
        <f t="shared" si="8"/>
        <v>11.268068331143001</v>
      </c>
      <c r="H294" s="6">
        <f t="shared" si="9"/>
        <v>0.93900569426191671</v>
      </c>
      <c r="I294" s="3">
        <v>163</v>
      </c>
      <c r="J294" s="3">
        <v>1</v>
      </c>
      <c r="K294" s="3">
        <v>1</v>
      </c>
      <c r="L294" s="3">
        <v>0</v>
      </c>
      <c r="M294" s="3">
        <v>1</v>
      </c>
      <c r="N294" s="3">
        <v>1</v>
      </c>
      <c r="O294" s="3">
        <v>1</v>
      </c>
      <c r="P294" s="3">
        <v>11.268068331143001</v>
      </c>
      <c r="Q294" s="3"/>
      <c r="R294" s="3"/>
    </row>
    <row r="295" spans="1:18" x14ac:dyDescent="0.3">
      <c r="A295" s="3">
        <v>171</v>
      </c>
      <c r="B295" s="3">
        <v>47</v>
      </c>
      <c r="C295" s="3" t="s">
        <v>194</v>
      </c>
      <c r="D295" s="3">
        <v>0</v>
      </c>
      <c r="E295" s="3" t="s">
        <v>161</v>
      </c>
      <c r="F295" s="4" t="s">
        <v>25</v>
      </c>
      <c r="G295" s="5">
        <f t="shared" si="8"/>
        <v>65.014509417433004</v>
      </c>
      <c r="H295" s="6">
        <f t="shared" si="9"/>
        <v>5.4178757847860837</v>
      </c>
      <c r="I295" s="3">
        <v>262</v>
      </c>
      <c r="J295" s="3">
        <v>2</v>
      </c>
      <c r="K295" s="3">
        <v>1</v>
      </c>
      <c r="L295" s="3">
        <v>1</v>
      </c>
      <c r="M295" s="3">
        <v>1</v>
      </c>
      <c r="N295" s="3">
        <v>1</v>
      </c>
      <c r="O295" s="3">
        <v>1</v>
      </c>
      <c r="P295" s="3">
        <v>65.014509417433004</v>
      </c>
      <c r="Q295" s="3"/>
      <c r="R295" s="3"/>
    </row>
    <row r="296" spans="1:18" x14ac:dyDescent="0.3">
      <c r="A296" s="3">
        <v>171</v>
      </c>
      <c r="B296" s="3">
        <v>47</v>
      </c>
      <c r="C296" s="3" t="s">
        <v>194</v>
      </c>
      <c r="D296" s="3">
        <v>0</v>
      </c>
      <c r="E296" s="3" t="s">
        <v>162</v>
      </c>
      <c r="F296" s="4" t="s">
        <v>25</v>
      </c>
      <c r="G296" s="5">
        <f t="shared" si="8"/>
        <v>84.494086727989</v>
      </c>
      <c r="H296" s="6">
        <f t="shared" si="9"/>
        <v>7.0411738939990833</v>
      </c>
      <c r="I296" s="3">
        <v>301</v>
      </c>
      <c r="J296" s="3">
        <v>3</v>
      </c>
      <c r="K296" s="3">
        <v>1</v>
      </c>
      <c r="L296" s="3">
        <v>1</v>
      </c>
      <c r="M296" s="3">
        <v>1</v>
      </c>
      <c r="N296" s="3">
        <v>1</v>
      </c>
      <c r="O296" s="3">
        <v>1</v>
      </c>
      <c r="P296" s="3">
        <v>84.494086727989</v>
      </c>
      <c r="Q296" s="3"/>
      <c r="R296" s="3"/>
    </row>
    <row r="297" spans="1:18" x14ac:dyDescent="0.3">
      <c r="A297" s="7">
        <v>172</v>
      </c>
      <c r="B297" s="7">
        <v>48</v>
      </c>
      <c r="C297" s="7" t="s">
        <v>195</v>
      </c>
      <c r="D297" s="7">
        <v>0</v>
      </c>
      <c r="E297" s="7" t="s">
        <v>18</v>
      </c>
      <c r="F297" s="8" t="s">
        <v>19</v>
      </c>
      <c r="G297" s="9">
        <f t="shared" si="8"/>
        <v>12.943495400788001</v>
      </c>
      <c r="H297" s="6">
        <f t="shared" si="9"/>
        <v>1.0786246167323335</v>
      </c>
      <c r="I297" s="7">
        <v>164</v>
      </c>
      <c r="J297" s="7">
        <v>1</v>
      </c>
      <c r="K297" s="7">
        <v>1</v>
      </c>
      <c r="L297" s="7">
        <v>0</v>
      </c>
      <c r="M297" s="7">
        <v>1</v>
      </c>
      <c r="N297" s="7">
        <v>1</v>
      </c>
      <c r="O297" s="7">
        <v>2</v>
      </c>
      <c r="P297" s="7">
        <v>12.943495400788001</v>
      </c>
      <c r="Q297" s="7"/>
      <c r="R297" s="7"/>
    </row>
    <row r="298" spans="1:18" x14ac:dyDescent="0.3">
      <c r="A298" s="7">
        <v>172</v>
      </c>
      <c r="B298" s="7">
        <v>48</v>
      </c>
      <c r="C298" s="7" t="s">
        <v>195</v>
      </c>
      <c r="D298" s="7">
        <v>0</v>
      </c>
      <c r="E298" s="7" t="s">
        <v>161</v>
      </c>
      <c r="F298" s="8" t="s">
        <v>19</v>
      </c>
      <c r="G298" s="9">
        <f t="shared" si="8"/>
        <v>67.544075777486</v>
      </c>
      <c r="H298" s="6">
        <f t="shared" si="9"/>
        <v>5.628672981457167</v>
      </c>
      <c r="I298" s="7">
        <v>263</v>
      </c>
      <c r="J298" s="7">
        <v>2</v>
      </c>
      <c r="K298" s="7">
        <v>1</v>
      </c>
      <c r="L298" s="7">
        <v>1</v>
      </c>
      <c r="M298" s="7">
        <v>1</v>
      </c>
      <c r="N298" s="7">
        <v>1</v>
      </c>
      <c r="O298" s="7">
        <v>2</v>
      </c>
      <c r="P298" s="7">
        <v>67.544075777486</v>
      </c>
      <c r="Q298" s="7"/>
      <c r="R298" s="7"/>
    </row>
    <row r="299" spans="1:18" x14ac:dyDescent="0.3">
      <c r="A299" s="7">
        <v>172</v>
      </c>
      <c r="B299" s="7">
        <v>48</v>
      </c>
      <c r="C299" s="7" t="s">
        <v>195</v>
      </c>
      <c r="D299" s="7">
        <v>0</v>
      </c>
      <c r="E299" s="7" t="s">
        <v>162</v>
      </c>
      <c r="F299" s="8" t="s">
        <v>19</v>
      </c>
      <c r="G299" s="9">
        <f t="shared" si="8"/>
        <v>86.760840998686007</v>
      </c>
      <c r="H299" s="6">
        <f t="shared" si="9"/>
        <v>7.2300700832238336</v>
      </c>
      <c r="I299" s="7">
        <v>302</v>
      </c>
      <c r="J299" s="7">
        <v>3</v>
      </c>
      <c r="K299" s="7">
        <v>1</v>
      </c>
      <c r="L299" s="7">
        <v>1</v>
      </c>
      <c r="M299" s="7">
        <v>1</v>
      </c>
      <c r="N299" s="7">
        <v>1</v>
      </c>
      <c r="O299" s="7">
        <v>2</v>
      </c>
      <c r="P299" s="7">
        <v>86.760840998686007</v>
      </c>
      <c r="Q299" s="7"/>
      <c r="R299" s="7"/>
    </row>
    <row r="300" spans="1:18" hidden="1" x14ac:dyDescent="0.3">
      <c r="A300" s="7">
        <v>172</v>
      </c>
      <c r="B300" s="7">
        <v>0</v>
      </c>
      <c r="C300" s="7" t="s">
        <v>195</v>
      </c>
      <c r="D300" s="7">
        <v>0</v>
      </c>
      <c r="E300" s="7" t="s">
        <v>164</v>
      </c>
      <c r="F300" s="8" t="s">
        <v>19</v>
      </c>
      <c r="G300" s="9">
        <f t="shared" si="8"/>
        <v>121.090670170827</v>
      </c>
      <c r="H300" s="6">
        <f t="shared" si="9"/>
        <v>10.09088918090225</v>
      </c>
      <c r="I300" s="7">
        <v>331</v>
      </c>
      <c r="J300" s="7">
        <v>4</v>
      </c>
      <c r="K300" s="7">
        <v>1</v>
      </c>
      <c r="L300" s="7">
        <v>1</v>
      </c>
      <c r="M300" s="7">
        <v>0</v>
      </c>
      <c r="N300" s="7">
        <v>0</v>
      </c>
      <c r="O300" s="7">
        <v>2</v>
      </c>
      <c r="P300" s="7">
        <v>121.090670170827</v>
      </c>
      <c r="Q300" s="7"/>
      <c r="R300" s="7"/>
    </row>
    <row r="301" spans="1:18" x14ac:dyDescent="0.3">
      <c r="A301" s="10">
        <v>173</v>
      </c>
      <c r="B301" s="10">
        <v>49</v>
      </c>
      <c r="C301" s="10" t="s">
        <v>196</v>
      </c>
      <c r="D301" s="10">
        <v>0</v>
      </c>
      <c r="E301" s="10" t="s">
        <v>18</v>
      </c>
      <c r="F301" s="11" t="s">
        <v>19</v>
      </c>
      <c r="G301" s="12">
        <f t="shared" si="8"/>
        <v>9.0656482698204002</v>
      </c>
      <c r="H301" s="6">
        <f t="shared" si="9"/>
        <v>0.75547068915170001</v>
      </c>
      <c r="I301" s="10">
        <v>165</v>
      </c>
      <c r="J301" s="10">
        <v>1</v>
      </c>
      <c r="K301" s="10">
        <v>1</v>
      </c>
      <c r="L301" s="10">
        <v>0</v>
      </c>
      <c r="M301" s="10">
        <v>1</v>
      </c>
      <c r="N301" s="10">
        <v>1</v>
      </c>
      <c r="O301" s="10">
        <v>3</v>
      </c>
      <c r="P301" s="10">
        <v>9.0656482698204002</v>
      </c>
      <c r="Q301" s="10"/>
      <c r="R301" s="10"/>
    </row>
    <row r="302" spans="1:18" x14ac:dyDescent="0.3">
      <c r="A302" s="10">
        <v>173</v>
      </c>
      <c r="B302" s="10">
        <v>49</v>
      </c>
      <c r="C302" s="10" t="s">
        <v>196</v>
      </c>
      <c r="D302" s="10">
        <v>0</v>
      </c>
      <c r="E302" s="10" t="s">
        <v>161</v>
      </c>
      <c r="F302" s="11" t="s">
        <v>19</v>
      </c>
      <c r="G302" s="12">
        <f t="shared" si="8"/>
        <v>63.566305300044</v>
      </c>
      <c r="H302" s="6">
        <f t="shared" si="9"/>
        <v>5.2971921083369997</v>
      </c>
      <c r="I302" s="10">
        <v>264</v>
      </c>
      <c r="J302" s="10">
        <v>2</v>
      </c>
      <c r="K302" s="10">
        <v>1</v>
      </c>
      <c r="L302" s="10">
        <v>1</v>
      </c>
      <c r="M302" s="10">
        <v>1</v>
      </c>
      <c r="N302" s="10">
        <v>1</v>
      </c>
      <c r="O302" s="10">
        <v>3</v>
      </c>
      <c r="P302" s="10">
        <v>61.957950065703002</v>
      </c>
      <c r="Q302" s="10">
        <v>63.566305300044</v>
      </c>
      <c r="R302" s="10"/>
    </row>
    <row r="303" spans="1:18" x14ac:dyDescent="0.3">
      <c r="A303" s="10">
        <v>173</v>
      </c>
      <c r="B303" s="10">
        <v>49</v>
      </c>
      <c r="C303" s="10" t="s">
        <v>196</v>
      </c>
      <c r="D303" s="10">
        <v>0</v>
      </c>
      <c r="E303" s="10" t="s">
        <v>162</v>
      </c>
      <c r="F303" s="11" t="s">
        <v>19</v>
      </c>
      <c r="G303" s="12">
        <f t="shared" si="8"/>
        <v>78.612297415680999</v>
      </c>
      <c r="H303" s="6">
        <f t="shared" si="9"/>
        <v>6.5510247846400835</v>
      </c>
      <c r="I303" s="10">
        <v>303</v>
      </c>
      <c r="J303" s="10">
        <v>3</v>
      </c>
      <c r="K303" s="10">
        <v>1</v>
      </c>
      <c r="L303" s="10">
        <v>1</v>
      </c>
      <c r="M303" s="10">
        <v>1</v>
      </c>
      <c r="N303" s="10">
        <v>1</v>
      </c>
      <c r="O303" s="10">
        <v>3</v>
      </c>
      <c r="P303" s="10">
        <v>78.612297415680999</v>
      </c>
      <c r="Q303" s="10"/>
      <c r="R303" s="10"/>
    </row>
    <row r="304" spans="1:18" hidden="1" x14ac:dyDescent="0.3">
      <c r="A304" s="10">
        <v>173</v>
      </c>
      <c r="B304" s="10">
        <v>0</v>
      </c>
      <c r="C304" s="10" t="s">
        <v>196</v>
      </c>
      <c r="D304" s="10">
        <v>0</v>
      </c>
      <c r="E304" s="10" t="s">
        <v>164</v>
      </c>
      <c r="F304" s="11" t="s">
        <v>19</v>
      </c>
      <c r="G304" s="12">
        <f t="shared" si="8"/>
        <v>112.383650897941</v>
      </c>
      <c r="H304" s="6">
        <f t="shared" si="9"/>
        <v>9.3653042414950836</v>
      </c>
      <c r="I304" s="10">
        <v>332</v>
      </c>
      <c r="J304" s="10">
        <v>4</v>
      </c>
      <c r="K304" s="10">
        <v>1</v>
      </c>
      <c r="L304" s="10">
        <v>1</v>
      </c>
      <c r="M304" s="10">
        <v>0</v>
      </c>
      <c r="N304" s="10">
        <v>0</v>
      </c>
      <c r="O304" s="10">
        <v>3</v>
      </c>
      <c r="P304" s="10">
        <v>112.383650897941</v>
      </c>
      <c r="Q304" s="10"/>
      <c r="R304" s="10"/>
    </row>
    <row r="305" spans="1:18" x14ac:dyDescent="0.3">
      <c r="A305" s="3">
        <v>174</v>
      </c>
      <c r="B305" s="3">
        <v>50</v>
      </c>
      <c r="C305" s="3" t="s">
        <v>197</v>
      </c>
      <c r="D305" s="3">
        <v>0</v>
      </c>
      <c r="E305" s="3" t="s">
        <v>18</v>
      </c>
      <c r="F305" s="4" t="s">
        <v>25</v>
      </c>
      <c r="G305" s="5">
        <f t="shared" si="8"/>
        <v>8.4086180464300995</v>
      </c>
      <c r="H305" s="6">
        <f t="shared" si="9"/>
        <v>0.70071817053584162</v>
      </c>
      <c r="I305" s="3">
        <v>167</v>
      </c>
      <c r="J305" s="3">
        <v>1</v>
      </c>
      <c r="K305" s="3">
        <v>1</v>
      </c>
      <c r="L305" s="3">
        <v>0</v>
      </c>
      <c r="M305" s="3">
        <v>1</v>
      </c>
      <c r="N305" s="3">
        <v>1</v>
      </c>
      <c r="O305" s="3">
        <v>1</v>
      </c>
      <c r="P305" s="3">
        <v>8.4086180464300995</v>
      </c>
      <c r="Q305" s="3"/>
      <c r="R305" s="3"/>
    </row>
    <row r="306" spans="1:18" x14ac:dyDescent="0.3">
      <c r="A306" s="3">
        <v>174</v>
      </c>
      <c r="B306" s="3">
        <v>50</v>
      </c>
      <c r="C306" s="3" t="s">
        <v>197</v>
      </c>
      <c r="D306" s="3">
        <v>0</v>
      </c>
      <c r="E306" s="3" t="s">
        <v>161</v>
      </c>
      <c r="F306" s="4" t="s">
        <v>25</v>
      </c>
      <c r="G306" s="5">
        <f t="shared" si="8"/>
        <v>63.303493210687598</v>
      </c>
      <c r="H306" s="6">
        <f t="shared" si="9"/>
        <v>5.2752911008906329</v>
      </c>
      <c r="I306" s="3">
        <v>265</v>
      </c>
      <c r="J306" s="3">
        <v>2</v>
      </c>
      <c r="K306" s="3">
        <v>1</v>
      </c>
      <c r="L306" s="3">
        <v>1</v>
      </c>
      <c r="M306" s="3">
        <v>1</v>
      </c>
      <c r="N306" s="3">
        <v>1</v>
      </c>
      <c r="O306" s="3">
        <v>1</v>
      </c>
      <c r="P306" s="3">
        <v>63.303493210687598</v>
      </c>
      <c r="Q306" s="3"/>
      <c r="R306" s="3"/>
    </row>
    <row r="307" spans="1:18" x14ac:dyDescent="0.3">
      <c r="A307" s="3">
        <v>174</v>
      </c>
      <c r="B307" s="3">
        <v>50</v>
      </c>
      <c r="C307" s="3" t="s">
        <v>197</v>
      </c>
      <c r="D307" s="3">
        <v>0</v>
      </c>
      <c r="E307" s="3" t="s">
        <v>162</v>
      </c>
      <c r="F307" s="4" t="s">
        <v>25</v>
      </c>
      <c r="G307" s="5">
        <f t="shared" si="8"/>
        <v>85.775295663601</v>
      </c>
      <c r="H307" s="6">
        <f t="shared" si="9"/>
        <v>7.1479413053000833</v>
      </c>
      <c r="I307" s="3">
        <v>304</v>
      </c>
      <c r="J307" s="3">
        <v>3</v>
      </c>
      <c r="K307" s="3">
        <v>1</v>
      </c>
      <c r="L307" s="3">
        <v>1</v>
      </c>
      <c r="M307" s="3">
        <v>1</v>
      </c>
      <c r="N307" s="3">
        <v>1</v>
      </c>
      <c r="O307" s="3">
        <v>1</v>
      </c>
      <c r="P307" s="3">
        <v>85.775295663601</v>
      </c>
      <c r="Q307" s="3"/>
      <c r="R307" s="3"/>
    </row>
    <row r="308" spans="1:18" x14ac:dyDescent="0.3">
      <c r="A308" s="7">
        <v>175</v>
      </c>
      <c r="B308" s="7">
        <v>51</v>
      </c>
      <c r="C308" s="7" t="s">
        <v>198</v>
      </c>
      <c r="D308" s="7">
        <v>0</v>
      </c>
      <c r="E308" s="7" t="s">
        <v>18</v>
      </c>
      <c r="F308" s="8" t="s">
        <v>25</v>
      </c>
      <c r="G308" s="9">
        <f t="shared" si="8"/>
        <v>16.458607095925998</v>
      </c>
      <c r="H308" s="6">
        <f t="shared" si="9"/>
        <v>1.3715505913271666</v>
      </c>
      <c r="I308" s="7">
        <v>172</v>
      </c>
      <c r="J308" s="7">
        <v>1</v>
      </c>
      <c r="K308" s="7">
        <v>1</v>
      </c>
      <c r="L308" s="7">
        <v>0</v>
      </c>
      <c r="M308" s="7">
        <v>1</v>
      </c>
      <c r="N308" s="7">
        <v>1</v>
      </c>
      <c r="O308" s="7">
        <v>2</v>
      </c>
      <c r="P308" s="7">
        <v>16.458607095925998</v>
      </c>
      <c r="Q308" s="7"/>
      <c r="R308" s="7"/>
    </row>
    <row r="309" spans="1:18" x14ac:dyDescent="0.3">
      <c r="A309" s="7">
        <v>175</v>
      </c>
      <c r="B309" s="7">
        <v>51</v>
      </c>
      <c r="C309" s="7" t="s">
        <v>198</v>
      </c>
      <c r="D309" s="7">
        <v>0</v>
      </c>
      <c r="E309" s="7" t="s">
        <v>161</v>
      </c>
      <c r="F309" s="8" t="s">
        <v>25</v>
      </c>
      <c r="G309" s="9">
        <f t="shared" si="8"/>
        <v>61.399474375821001</v>
      </c>
      <c r="H309" s="6">
        <f t="shared" si="9"/>
        <v>5.1166228646517498</v>
      </c>
      <c r="I309" s="7">
        <v>266</v>
      </c>
      <c r="J309" s="7">
        <v>2</v>
      </c>
      <c r="K309" s="7">
        <v>1</v>
      </c>
      <c r="L309" s="7">
        <v>1</v>
      </c>
      <c r="M309" s="7">
        <v>1</v>
      </c>
      <c r="N309" s="7">
        <v>1</v>
      </c>
      <c r="O309" s="7">
        <v>2</v>
      </c>
      <c r="P309" s="7">
        <v>61.399474375821001</v>
      </c>
      <c r="Q309" s="7"/>
      <c r="R309" s="7"/>
    </row>
    <row r="310" spans="1:18" x14ac:dyDescent="0.3">
      <c r="A310" s="7">
        <v>175</v>
      </c>
      <c r="B310" s="7">
        <v>51</v>
      </c>
      <c r="C310" s="7" t="s">
        <v>198</v>
      </c>
      <c r="D310" s="7">
        <v>0</v>
      </c>
      <c r="E310" s="7" t="s">
        <v>162</v>
      </c>
      <c r="F310" s="8" t="s">
        <v>25</v>
      </c>
      <c r="G310" s="9">
        <f t="shared" si="8"/>
        <v>76.084099868593995</v>
      </c>
      <c r="H310" s="6">
        <f t="shared" si="9"/>
        <v>6.3403416557161663</v>
      </c>
      <c r="I310" s="7">
        <v>305</v>
      </c>
      <c r="J310" s="7">
        <v>3</v>
      </c>
      <c r="K310" s="7">
        <v>1</v>
      </c>
      <c r="L310" s="7">
        <v>1</v>
      </c>
      <c r="M310" s="7">
        <v>1</v>
      </c>
      <c r="N310" s="7">
        <v>1</v>
      </c>
      <c r="O310" s="7">
        <v>2</v>
      </c>
      <c r="P310" s="7">
        <v>76.084099868593995</v>
      </c>
      <c r="Q310" s="7"/>
      <c r="R310" s="7"/>
    </row>
    <row r="311" spans="1:18" hidden="1" x14ac:dyDescent="0.3">
      <c r="A311" s="7">
        <v>175</v>
      </c>
      <c r="B311" s="7">
        <v>0</v>
      </c>
      <c r="C311" s="7" t="s">
        <v>198</v>
      </c>
      <c r="D311" s="7">
        <v>0</v>
      </c>
      <c r="E311" s="7" t="s">
        <v>164</v>
      </c>
      <c r="F311" s="8" t="s">
        <v>25</v>
      </c>
      <c r="G311" s="9">
        <f t="shared" si="8"/>
        <v>107.42444152431</v>
      </c>
      <c r="H311" s="6">
        <f t="shared" si="9"/>
        <v>8.9520367936924998</v>
      </c>
      <c r="I311" s="7">
        <v>333</v>
      </c>
      <c r="J311" s="7">
        <v>4</v>
      </c>
      <c r="K311" s="7">
        <v>1</v>
      </c>
      <c r="L311" s="7">
        <v>1</v>
      </c>
      <c r="M311" s="7">
        <v>0</v>
      </c>
      <c r="N311" s="7">
        <v>0</v>
      </c>
      <c r="O311" s="7">
        <v>2</v>
      </c>
      <c r="P311" s="7">
        <v>107.42444152431</v>
      </c>
      <c r="Q311" s="7"/>
      <c r="R311" s="7"/>
    </row>
    <row r="312" spans="1:18" x14ac:dyDescent="0.3">
      <c r="A312" s="10">
        <v>176</v>
      </c>
      <c r="B312" s="10">
        <v>52</v>
      </c>
      <c r="C312" s="10" t="s">
        <v>199</v>
      </c>
      <c r="D312" s="10">
        <v>0</v>
      </c>
      <c r="E312" s="10" t="s">
        <v>18</v>
      </c>
      <c r="F312" s="11" t="s">
        <v>25</v>
      </c>
      <c r="G312" s="12">
        <f t="shared" si="8"/>
        <v>9.0998685939552999</v>
      </c>
      <c r="H312" s="6">
        <f t="shared" si="9"/>
        <v>0.75832238282960829</v>
      </c>
      <c r="I312" s="10">
        <v>173</v>
      </c>
      <c r="J312" s="10">
        <v>1</v>
      </c>
      <c r="K312" s="10">
        <v>1</v>
      </c>
      <c r="L312" s="10">
        <v>0</v>
      </c>
      <c r="M312" s="10">
        <v>1</v>
      </c>
      <c r="N312" s="10">
        <v>1</v>
      </c>
      <c r="O312" s="10">
        <v>3</v>
      </c>
      <c r="P312" s="10">
        <v>9.0998685939552999</v>
      </c>
      <c r="Q312" s="10"/>
      <c r="R312" s="10"/>
    </row>
    <row r="313" spans="1:18" x14ac:dyDescent="0.3">
      <c r="A313" s="10">
        <v>176</v>
      </c>
      <c r="B313" s="10">
        <v>52</v>
      </c>
      <c r="C313" s="10" t="s">
        <v>199</v>
      </c>
      <c r="D313" s="10">
        <v>0</v>
      </c>
      <c r="E313" s="10" t="s">
        <v>161</v>
      </c>
      <c r="F313" s="11" t="s">
        <v>25</v>
      </c>
      <c r="G313" s="12">
        <f t="shared" si="8"/>
        <v>61.760840998686</v>
      </c>
      <c r="H313" s="6">
        <f t="shared" si="9"/>
        <v>5.1467367498904997</v>
      </c>
      <c r="I313" s="10">
        <v>267</v>
      </c>
      <c r="J313" s="10">
        <v>2</v>
      </c>
      <c r="K313" s="10">
        <v>1</v>
      </c>
      <c r="L313" s="10">
        <v>1</v>
      </c>
      <c r="M313" s="10">
        <v>1</v>
      </c>
      <c r="N313" s="10">
        <v>1</v>
      </c>
      <c r="O313" s="10">
        <v>3</v>
      </c>
      <c r="P313" s="10">
        <v>61.760840998686</v>
      </c>
      <c r="Q313" s="10"/>
      <c r="R313" s="10"/>
    </row>
    <row r="314" spans="1:18" hidden="1" x14ac:dyDescent="0.3">
      <c r="A314" s="10">
        <v>176</v>
      </c>
      <c r="B314" s="10">
        <v>0</v>
      </c>
      <c r="C314" s="10" t="s">
        <v>199</v>
      </c>
      <c r="D314" s="10">
        <v>0</v>
      </c>
      <c r="E314" s="10" t="s">
        <v>162</v>
      </c>
      <c r="F314" s="11" t="s">
        <v>25</v>
      </c>
      <c r="G314" s="12">
        <f t="shared" si="8"/>
        <v>95.696452036793602</v>
      </c>
      <c r="H314" s="6">
        <f t="shared" si="9"/>
        <v>7.9747043363994665</v>
      </c>
      <c r="I314" s="10">
        <v>306</v>
      </c>
      <c r="J314" s="10">
        <v>3</v>
      </c>
      <c r="K314" s="10">
        <v>1</v>
      </c>
      <c r="L314" s="10">
        <v>1</v>
      </c>
      <c r="M314" s="10">
        <v>0</v>
      </c>
      <c r="N314" s="10">
        <v>0</v>
      </c>
      <c r="O314" s="10">
        <v>3</v>
      </c>
      <c r="P314" s="10">
        <v>95.696452036793602</v>
      </c>
      <c r="Q314" s="10"/>
      <c r="R314" s="10"/>
    </row>
    <row r="315" spans="1:18" x14ac:dyDescent="0.3">
      <c r="A315" s="3">
        <v>177</v>
      </c>
      <c r="B315" s="3">
        <v>53</v>
      </c>
      <c r="C315" s="3" t="s">
        <v>200</v>
      </c>
      <c r="D315" s="3">
        <v>0</v>
      </c>
      <c r="E315" s="3" t="s">
        <v>18</v>
      </c>
      <c r="F315" s="4" t="s">
        <v>25</v>
      </c>
      <c r="G315" s="5">
        <f t="shared" si="8"/>
        <v>16.688567674112999</v>
      </c>
      <c r="H315" s="6">
        <f t="shared" si="9"/>
        <v>1.39071397284275</v>
      </c>
      <c r="I315" s="3">
        <v>174</v>
      </c>
      <c r="J315" s="3">
        <v>1</v>
      </c>
      <c r="K315" s="3">
        <v>1</v>
      </c>
      <c r="L315" s="3">
        <v>0</v>
      </c>
      <c r="M315" s="3">
        <v>1</v>
      </c>
      <c r="N315" s="3">
        <v>1</v>
      </c>
      <c r="O315" s="3">
        <v>1</v>
      </c>
      <c r="P315" s="3">
        <v>16.688567674112999</v>
      </c>
      <c r="Q315" s="3"/>
      <c r="R315" s="3"/>
    </row>
    <row r="316" spans="1:18" x14ac:dyDescent="0.3">
      <c r="A316" s="3">
        <v>177</v>
      </c>
      <c r="B316" s="3">
        <v>53</v>
      </c>
      <c r="C316" s="3" t="s">
        <v>200</v>
      </c>
      <c r="D316" s="3">
        <v>0</v>
      </c>
      <c r="E316" s="3" t="s">
        <v>161</v>
      </c>
      <c r="F316" s="4" t="s">
        <v>25</v>
      </c>
      <c r="G316" s="5">
        <f t="shared" si="8"/>
        <v>61.300919842313</v>
      </c>
      <c r="H316" s="6">
        <f t="shared" si="9"/>
        <v>5.1084099868594164</v>
      </c>
      <c r="I316" s="3">
        <v>268</v>
      </c>
      <c r="J316" s="3">
        <v>2</v>
      </c>
      <c r="K316" s="3">
        <v>1</v>
      </c>
      <c r="L316" s="3">
        <v>1</v>
      </c>
      <c r="M316" s="3">
        <v>1</v>
      </c>
      <c r="N316" s="3">
        <v>1</v>
      </c>
      <c r="O316" s="3">
        <v>1</v>
      </c>
      <c r="P316" s="3">
        <v>61.300919842313</v>
      </c>
      <c r="Q316" s="3"/>
      <c r="R316" s="3"/>
    </row>
    <row r="317" spans="1:18" hidden="1" x14ac:dyDescent="0.3">
      <c r="A317" s="3">
        <v>177</v>
      </c>
      <c r="B317" s="3">
        <v>0</v>
      </c>
      <c r="C317" s="3" t="s">
        <v>200</v>
      </c>
      <c r="D317" s="3">
        <v>0</v>
      </c>
      <c r="E317" s="3" t="s">
        <v>162</v>
      </c>
      <c r="F317" s="4" t="s">
        <v>25</v>
      </c>
      <c r="G317" s="5">
        <f t="shared" si="8"/>
        <v>76.084099868593995</v>
      </c>
      <c r="H317" s="6">
        <f t="shared" si="9"/>
        <v>6.3403416557161663</v>
      </c>
      <c r="I317" s="3">
        <v>307</v>
      </c>
      <c r="J317" s="3">
        <v>3</v>
      </c>
      <c r="K317" s="3">
        <v>1</v>
      </c>
      <c r="L317" s="3">
        <v>1</v>
      </c>
      <c r="M317" s="3">
        <v>0</v>
      </c>
      <c r="N317" s="3">
        <v>0</v>
      </c>
      <c r="O317" s="3">
        <v>1</v>
      </c>
      <c r="P317" s="3">
        <v>76.084099868593995</v>
      </c>
      <c r="Q317" s="3"/>
      <c r="R317" s="3"/>
    </row>
    <row r="318" spans="1:18" hidden="1" x14ac:dyDescent="0.3">
      <c r="A318" s="3">
        <v>177</v>
      </c>
      <c r="B318" s="3">
        <v>0</v>
      </c>
      <c r="C318" s="3" t="s">
        <v>200</v>
      </c>
      <c r="D318" s="3">
        <v>0</v>
      </c>
      <c r="E318" s="3" t="s">
        <v>164</v>
      </c>
      <c r="F318" s="4" t="s">
        <v>25</v>
      </c>
      <c r="G318" s="5">
        <f t="shared" si="8"/>
        <v>107.42444152431</v>
      </c>
      <c r="H318" s="6">
        <f t="shared" si="9"/>
        <v>8.9520367936924998</v>
      </c>
      <c r="I318" s="3">
        <v>334</v>
      </c>
      <c r="J318" s="3">
        <v>4</v>
      </c>
      <c r="K318" s="3">
        <v>1</v>
      </c>
      <c r="L318" s="3">
        <v>1</v>
      </c>
      <c r="M318" s="3">
        <v>0</v>
      </c>
      <c r="N318" s="3">
        <v>0</v>
      </c>
      <c r="O318" s="3">
        <v>1</v>
      </c>
      <c r="P318" s="3">
        <v>107.42444152431</v>
      </c>
      <c r="Q318" s="3"/>
      <c r="R318" s="3"/>
    </row>
    <row r="319" spans="1:18" x14ac:dyDescent="0.3">
      <c r="A319" s="7">
        <v>178</v>
      </c>
      <c r="B319" s="7">
        <v>54</v>
      </c>
      <c r="C319" s="7" t="s">
        <v>201</v>
      </c>
      <c r="D319" s="7">
        <v>0</v>
      </c>
      <c r="E319" s="7" t="s">
        <v>18</v>
      </c>
      <c r="F319" s="8" t="s">
        <v>19</v>
      </c>
      <c r="G319" s="9">
        <f t="shared" si="8"/>
        <v>5.5190538764783001</v>
      </c>
      <c r="H319" s="6">
        <f t="shared" si="9"/>
        <v>0.4599211563731917</v>
      </c>
      <c r="I319" s="7">
        <v>176</v>
      </c>
      <c r="J319" s="7">
        <v>1</v>
      </c>
      <c r="K319" s="7">
        <v>1</v>
      </c>
      <c r="L319" s="7">
        <v>0</v>
      </c>
      <c r="M319" s="7">
        <v>1</v>
      </c>
      <c r="N319" s="7">
        <v>1</v>
      </c>
      <c r="O319" s="7">
        <v>2</v>
      </c>
      <c r="P319" s="7">
        <v>5.5190538764783001</v>
      </c>
      <c r="Q319" s="7"/>
      <c r="R319" s="7"/>
    </row>
    <row r="320" spans="1:18" x14ac:dyDescent="0.3">
      <c r="A320" s="7">
        <v>178</v>
      </c>
      <c r="B320" s="7">
        <v>54</v>
      </c>
      <c r="C320" s="7" t="s">
        <v>201</v>
      </c>
      <c r="D320" s="7">
        <v>0</v>
      </c>
      <c r="E320" s="7" t="s">
        <v>161</v>
      </c>
      <c r="F320" s="8" t="s">
        <v>19</v>
      </c>
      <c r="G320" s="9">
        <f t="shared" si="8"/>
        <v>58.508541392904</v>
      </c>
      <c r="H320" s="6">
        <f t="shared" si="9"/>
        <v>4.875711782742</v>
      </c>
      <c r="I320" s="7">
        <v>269</v>
      </c>
      <c r="J320" s="7">
        <v>2</v>
      </c>
      <c r="K320" s="7">
        <v>1</v>
      </c>
      <c r="L320" s="7">
        <v>1</v>
      </c>
      <c r="M320" s="7">
        <v>1</v>
      </c>
      <c r="N320" s="7">
        <v>1</v>
      </c>
      <c r="O320" s="7">
        <v>2</v>
      </c>
      <c r="P320" s="7">
        <v>58.508541392904</v>
      </c>
      <c r="Q320" s="7"/>
      <c r="R320" s="7"/>
    </row>
    <row r="321" spans="1:18" x14ac:dyDescent="0.3">
      <c r="A321" s="10">
        <v>179</v>
      </c>
      <c r="B321" s="10">
        <v>55</v>
      </c>
      <c r="C321" s="10" t="s">
        <v>202</v>
      </c>
      <c r="D321" s="10">
        <v>0</v>
      </c>
      <c r="E321" s="10" t="s">
        <v>18</v>
      </c>
      <c r="F321" s="11" t="s">
        <v>19</v>
      </c>
      <c r="G321" s="12">
        <f t="shared" si="8"/>
        <v>18.561103810774998</v>
      </c>
      <c r="H321" s="6">
        <f t="shared" si="9"/>
        <v>1.5467586508979165</v>
      </c>
      <c r="I321" s="10">
        <v>177</v>
      </c>
      <c r="J321" s="10">
        <v>1</v>
      </c>
      <c r="K321" s="10">
        <v>1</v>
      </c>
      <c r="L321" s="10">
        <v>0</v>
      </c>
      <c r="M321" s="10">
        <v>1</v>
      </c>
      <c r="N321" s="10">
        <v>1</v>
      </c>
      <c r="O321" s="10">
        <v>3</v>
      </c>
      <c r="P321" s="10">
        <v>18.561103810774998</v>
      </c>
      <c r="Q321" s="10"/>
      <c r="R321" s="10"/>
    </row>
    <row r="322" spans="1:18" x14ac:dyDescent="0.3">
      <c r="A322" s="10">
        <v>179</v>
      </c>
      <c r="B322" s="10">
        <v>55</v>
      </c>
      <c r="C322" s="10" t="s">
        <v>202</v>
      </c>
      <c r="D322" s="10">
        <v>0</v>
      </c>
      <c r="E322" s="10" t="s">
        <v>161</v>
      </c>
      <c r="F322" s="11" t="s">
        <v>19</v>
      </c>
      <c r="G322" s="12">
        <f t="shared" ref="G322:G336" si="10">MAX(P322:R322)</f>
        <v>58.837056504598998</v>
      </c>
      <c r="H322" s="6">
        <f t="shared" ref="H322:H336" si="11">G322/12</f>
        <v>4.9030880420499168</v>
      </c>
      <c r="I322" s="10">
        <v>270</v>
      </c>
      <c r="J322" s="10">
        <v>2</v>
      </c>
      <c r="K322" s="10">
        <v>1</v>
      </c>
      <c r="L322" s="10">
        <v>1</v>
      </c>
      <c r="M322" s="10">
        <v>1</v>
      </c>
      <c r="N322" s="10">
        <v>1</v>
      </c>
      <c r="O322" s="10">
        <v>3</v>
      </c>
      <c r="P322" s="10">
        <v>58.837056504598998</v>
      </c>
      <c r="Q322" s="10"/>
      <c r="R322" s="10"/>
    </row>
    <row r="323" spans="1:18" hidden="1" x14ac:dyDescent="0.3">
      <c r="A323" s="3">
        <v>180</v>
      </c>
      <c r="B323" s="3">
        <v>0</v>
      </c>
      <c r="C323" s="3" t="s">
        <v>203</v>
      </c>
      <c r="D323" s="3">
        <v>0</v>
      </c>
      <c r="E323" s="3" t="s">
        <v>18</v>
      </c>
      <c r="F323" s="4" t="s">
        <v>25</v>
      </c>
      <c r="G323" s="5">
        <f t="shared" si="10"/>
        <v>7.7201051248357002</v>
      </c>
      <c r="H323" s="6">
        <f t="shared" si="11"/>
        <v>0.64334209373630835</v>
      </c>
      <c r="I323" s="3">
        <v>178</v>
      </c>
      <c r="J323" s="3">
        <v>1</v>
      </c>
      <c r="K323" s="3">
        <v>1</v>
      </c>
      <c r="L323" s="3">
        <v>0</v>
      </c>
      <c r="M323" s="3">
        <v>0</v>
      </c>
      <c r="N323" s="3">
        <v>0</v>
      </c>
      <c r="O323" s="3">
        <v>1</v>
      </c>
      <c r="P323" s="3">
        <v>7.7201051248357002</v>
      </c>
      <c r="Q323" s="3"/>
      <c r="R323" s="3"/>
    </row>
    <row r="324" spans="1:18" hidden="1" x14ac:dyDescent="0.3">
      <c r="A324" s="3">
        <v>180</v>
      </c>
      <c r="B324" s="3">
        <v>0</v>
      </c>
      <c r="C324" s="3" t="s">
        <v>203</v>
      </c>
      <c r="D324" s="3">
        <v>0</v>
      </c>
      <c r="E324" s="3" t="s">
        <v>161</v>
      </c>
      <c r="F324" s="4" t="s">
        <v>25</v>
      </c>
      <c r="G324" s="5">
        <f t="shared" si="10"/>
        <v>56.471747700393998</v>
      </c>
      <c r="H324" s="6">
        <f t="shared" si="11"/>
        <v>4.7059789750328331</v>
      </c>
      <c r="I324" s="3">
        <v>271</v>
      </c>
      <c r="J324" s="3">
        <v>2</v>
      </c>
      <c r="K324" s="3">
        <v>1</v>
      </c>
      <c r="L324" s="3">
        <v>1</v>
      </c>
      <c r="M324" s="3">
        <v>1</v>
      </c>
      <c r="N324" s="3">
        <v>0</v>
      </c>
      <c r="O324" s="3">
        <v>1</v>
      </c>
      <c r="P324" s="3">
        <v>56.471747700393998</v>
      </c>
      <c r="Q324" s="3"/>
      <c r="R324" s="3"/>
    </row>
    <row r="325" spans="1:18" x14ac:dyDescent="0.3">
      <c r="A325" s="7">
        <v>181</v>
      </c>
      <c r="B325" s="7">
        <v>56</v>
      </c>
      <c r="C325" s="7" t="s">
        <v>204</v>
      </c>
      <c r="D325" s="7">
        <v>0</v>
      </c>
      <c r="E325" s="7" t="s">
        <v>18</v>
      </c>
      <c r="F325" s="8" t="s">
        <v>19</v>
      </c>
      <c r="G325" s="9">
        <f t="shared" si="10"/>
        <v>8.7070192728865994</v>
      </c>
      <c r="H325" s="6">
        <f t="shared" si="11"/>
        <v>0.72558493940721658</v>
      </c>
      <c r="I325" s="7">
        <v>179</v>
      </c>
      <c r="J325" s="7">
        <v>1</v>
      </c>
      <c r="K325" s="7">
        <v>1</v>
      </c>
      <c r="L325" s="7">
        <v>0</v>
      </c>
      <c r="M325" s="7">
        <v>1</v>
      </c>
      <c r="N325" s="7">
        <v>1</v>
      </c>
      <c r="O325" s="7">
        <v>2</v>
      </c>
      <c r="P325" s="7">
        <v>8.7070192728865994</v>
      </c>
      <c r="Q325" s="7"/>
      <c r="R325" s="7"/>
    </row>
    <row r="326" spans="1:18" x14ac:dyDescent="0.3">
      <c r="A326" s="7">
        <v>181</v>
      </c>
      <c r="B326" s="7">
        <v>56</v>
      </c>
      <c r="C326" s="7" t="s">
        <v>204</v>
      </c>
      <c r="D326" s="7">
        <v>0</v>
      </c>
      <c r="E326" s="7" t="s">
        <v>161</v>
      </c>
      <c r="F326" s="8" t="s">
        <v>19</v>
      </c>
      <c r="G326" s="9">
        <f t="shared" si="10"/>
        <v>55.651828734121999</v>
      </c>
      <c r="H326" s="6">
        <f t="shared" si="11"/>
        <v>4.6376523945101669</v>
      </c>
      <c r="I326" s="7">
        <v>272</v>
      </c>
      <c r="J326" s="7">
        <v>2</v>
      </c>
      <c r="K326" s="7">
        <v>1</v>
      </c>
      <c r="L326" s="7">
        <v>1</v>
      </c>
      <c r="M326" s="7">
        <v>1</v>
      </c>
      <c r="N326" s="7">
        <v>1</v>
      </c>
      <c r="O326" s="7">
        <v>2</v>
      </c>
      <c r="P326" s="7">
        <v>55.651828734121999</v>
      </c>
      <c r="Q326" s="7"/>
      <c r="R326" s="7"/>
    </row>
    <row r="327" spans="1:18" x14ac:dyDescent="0.3">
      <c r="A327" s="7">
        <v>181</v>
      </c>
      <c r="B327" s="7">
        <v>56</v>
      </c>
      <c r="C327" s="7" t="s">
        <v>204</v>
      </c>
      <c r="D327" s="7">
        <v>0</v>
      </c>
      <c r="E327" s="7" t="s">
        <v>162</v>
      </c>
      <c r="F327" s="8" t="s">
        <v>19</v>
      </c>
      <c r="G327" s="9">
        <f t="shared" si="10"/>
        <v>77.530935173017994</v>
      </c>
      <c r="H327" s="6">
        <f t="shared" si="11"/>
        <v>6.4609112644181659</v>
      </c>
      <c r="I327" s="7">
        <v>308</v>
      </c>
      <c r="J327" s="7">
        <v>3</v>
      </c>
      <c r="K327" s="7">
        <v>1</v>
      </c>
      <c r="L327" s="7">
        <v>1</v>
      </c>
      <c r="M327" s="7">
        <v>1</v>
      </c>
      <c r="N327" s="7">
        <v>1</v>
      </c>
      <c r="O327" s="7">
        <v>2</v>
      </c>
      <c r="P327" s="7">
        <v>77.530935173017994</v>
      </c>
      <c r="Q327" s="7"/>
      <c r="R327" s="7"/>
    </row>
    <row r="328" spans="1:18" hidden="1" x14ac:dyDescent="0.3">
      <c r="A328" s="7">
        <v>181</v>
      </c>
      <c r="B328" s="7">
        <v>0</v>
      </c>
      <c r="C328" s="7" t="s">
        <v>204</v>
      </c>
      <c r="D328" s="7">
        <v>0</v>
      </c>
      <c r="E328" s="7" t="s">
        <v>164</v>
      </c>
      <c r="F328" s="8" t="s">
        <v>19</v>
      </c>
      <c r="G328" s="9">
        <f t="shared" si="10"/>
        <v>97.667542706964497</v>
      </c>
      <c r="H328" s="6">
        <f t="shared" si="11"/>
        <v>8.1389618922470408</v>
      </c>
      <c r="I328" s="7">
        <v>335</v>
      </c>
      <c r="J328" s="7">
        <v>4</v>
      </c>
      <c r="K328" s="7">
        <v>1</v>
      </c>
      <c r="L328" s="7">
        <v>1</v>
      </c>
      <c r="M328" s="7">
        <v>0</v>
      </c>
      <c r="N328" s="7">
        <v>0</v>
      </c>
      <c r="O328" s="7">
        <v>2</v>
      </c>
      <c r="P328" s="7">
        <v>97.667542706964497</v>
      </c>
      <c r="Q328" s="7"/>
      <c r="R328" s="7"/>
    </row>
    <row r="329" spans="1:18" x14ac:dyDescent="0.3">
      <c r="A329" s="10">
        <v>182</v>
      </c>
      <c r="B329" s="10">
        <v>57</v>
      </c>
      <c r="C329" s="10" t="s">
        <v>205</v>
      </c>
      <c r="D329" s="10">
        <v>0</v>
      </c>
      <c r="E329" s="10" t="s">
        <v>18</v>
      </c>
      <c r="F329" s="11" t="s">
        <v>19</v>
      </c>
      <c r="G329" s="12">
        <f t="shared" si="10"/>
        <v>11.136662286465</v>
      </c>
      <c r="H329" s="6">
        <f t="shared" si="11"/>
        <v>0.92805519053875007</v>
      </c>
      <c r="I329" s="10">
        <v>180</v>
      </c>
      <c r="J329" s="10">
        <v>1</v>
      </c>
      <c r="K329" s="10">
        <v>1</v>
      </c>
      <c r="L329" s="10">
        <v>0</v>
      </c>
      <c r="M329" s="10">
        <v>1</v>
      </c>
      <c r="N329" s="10">
        <v>1</v>
      </c>
      <c r="O329" s="10">
        <v>3</v>
      </c>
      <c r="P329" s="10">
        <v>11.136662286465</v>
      </c>
      <c r="Q329" s="10"/>
      <c r="R329" s="10"/>
    </row>
    <row r="330" spans="1:18" x14ac:dyDescent="0.3">
      <c r="A330" s="10">
        <v>182</v>
      </c>
      <c r="B330" s="10">
        <v>57</v>
      </c>
      <c r="C330" s="10" t="s">
        <v>205</v>
      </c>
      <c r="D330" s="10">
        <v>0</v>
      </c>
      <c r="E330" s="10" t="s">
        <v>161</v>
      </c>
      <c r="F330" s="11" t="s">
        <v>19</v>
      </c>
      <c r="G330" s="12">
        <f t="shared" si="10"/>
        <v>58.180026281209003</v>
      </c>
      <c r="H330" s="6">
        <f t="shared" si="11"/>
        <v>4.8483355234340832</v>
      </c>
      <c r="I330" s="10">
        <v>273</v>
      </c>
      <c r="J330" s="10">
        <v>2</v>
      </c>
      <c r="K330" s="10">
        <v>1</v>
      </c>
      <c r="L330" s="10">
        <v>1</v>
      </c>
      <c r="M330" s="10">
        <v>1</v>
      </c>
      <c r="N330" s="10">
        <v>1</v>
      </c>
      <c r="O330" s="10">
        <v>3</v>
      </c>
      <c r="P330" s="10">
        <v>58.180026281209003</v>
      </c>
      <c r="Q330" s="10"/>
      <c r="R330" s="10"/>
    </row>
    <row r="331" spans="1:18" hidden="1" x14ac:dyDescent="0.3">
      <c r="A331" s="10">
        <v>182</v>
      </c>
      <c r="B331" s="10">
        <v>0</v>
      </c>
      <c r="C331" s="10" t="s">
        <v>205</v>
      </c>
      <c r="D331" s="10">
        <v>0</v>
      </c>
      <c r="E331" s="10" t="s">
        <v>162</v>
      </c>
      <c r="F331" s="11" t="s">
        <v>19</v>
      </c>
      <c r="G331" s="12">
        <f t="shared" si="10"/>
        <v>88.140604467805503</v>
      </c>
      <c r="H331" s="6">
        <f t="shared" si="11"/>
        <v>7.3450503723171252</v>
      </c>
      <c r="I331" s="10">
        <v>309</v>
      </c>
      <c r="J331" s="10">
        <v>3</v>
      </c>
      <c r="K331" s="10">
        <v>1</v>
      </c>
      <c r="L331" s="10">
        <v>1</v>
      </c>
      <c r="M331" s="10">
        <v>0</v>
      </c>
      <c r="N331" s="10">
        <v>0</v>
      </c>
      <c r="O331" s="10">
        <v>3</v>
      </c>
      <c r="P331" s="10">
        <v>88.140604467805503</v>
      </c>
      <c r="Q331" s="10"/>
      <c r="R331" s="10"/>
    </row>
    <row r="332" spans="1:18" x14ac:dyDescent="0.3">
      <c r="A332" s="3">
        <v>183</v>
      </c>
      <c r="B332" s="3">
        <v>58</v>
      </c>
      <c r="C332" s="3" t="s">
        <v>206</v>
      </c>
      <c r="D332" s="3">
        <v>0</v>
      </c>
      <c r="E332" s="3" t="s">
        <v>18</v>
      </c>
      <c r="F332" s="4" t="s">
        <v>19</v>
      </c>
      <c r="G332" s="5">
        <f t="shared" si="10"/>
        <v>13.699080157687</v>
      </c>
      <c r="H332" s="6">
        <f t="shared" si="11"/>
        <v>1.1415900131405834</v>
      </c>
      <c r="I332" s="3">
        <v>181</v>
      </c>
      <c r="J332" s="3">
        <v>1</v>
      </c>
      <c r="K332" s="3">
        <v>1</v>
      </c>
      <c r="L332" s="3">
        <v>0</v>
      </c>
      <c r="M332" s="3">
        <v>1</v>
      </c>
      <c r="N332" s="3">
        <v>1</v>
      </c>
      <c r="O332" s="3">
        <v>1</v>
      </c>
      <c r="P332" s="3">
        <v>13.699080157687</v>
      </c>
      <c r="Q332" s="3"/>
      <c r="R332" s="3"/>
    </row>
    <row r="333" spans="1:18" x14ac:dyDescent="0.3">
      <c r="A333" s="3">
        <v>183</v>
      </c>
      <c r="B333" s="3">
        <v>58</v>
      </c>
      <c r="C333" s="3" t="s">
        <v>206</v>
      </c>
      <c r="D333" s="3">
        <v>0</v>
      </c>
      <c r="E333" s="3" t="s">
        <v>161</v>
      </c>
      <c r="F333" s="4" t="s">
        <v>19</v>
      </c>
      <c r="G333" s="5">
        <f t="shared" si="10"/>
        <v>62.647831800262999</v>
      </c>
      <c r="H333" s="6">
        <f t="shared" si="11"/>
        <v>5.2206526500219166</v>
      </c>
      <c r="I333" s="3">
        <v>274</v>
      </c>
      <c r="J333" s="3">
        <v>2</v>
      </c>
      <c r="K333" s="3">
        <v>1</v>
      </c>
      <c r="L333" s="3">
        <v>1</v>
      </c>
      <c r="M333" s="3">
        <v>1</v>
      </c>
      <c r="N333" s="3">
        <v>1</v>
      </c>
      <c r="O333" s="3">
        <v>1</v>
      </c>
      <c r="P333" s="3">
        <v>60.315374507226998</v>
      </c>
      <c r="Q333" s="3">
        <v>62.647831800262999</v>
      </c>
      <c r="R333" s="3"/>
    </row>
    <row r="334" spans="1:18" x14ac:dyDescent="0.3">
      <c r="A334" s="7">
        <v>184</v>
      </c>
      <c r="B334" s="7">
        <v>59</v>
      </c>
      <c r="C334" s="7" t="s">
        <v>207</v>
      </c>
      <c r="D334" s="7">
        <v>0</v>
      </c>
      <c r="E334" s="7" t="s">
        <v>18</v>
      </c>
      <c r="F334" s="8" t="s">
        <v>19</v>
      </c>
      <c r="G334" s="9">
        <f t="shared" si="10"/>
        <v>12.84494086728</v>
      </c>
      <c r="H334" s="6">
        <f t="shared" si="11"/>
        <v>1.0704117389400001</v>
      </c>
      <c r="I334" s="7">
        <v>182</v>
      </c>
      <c r="J334" s="7">
        <v>1</v>
      </c>
      <c r="K334" s="7">
        <v>1</v>
      </c>
      <c r="L334" s="7">
        <v>0</v>
      </c>
      <c r="M334" s="7">
        <v>1</v>
      </c>
      <c r="N334" s="7">
        <v>1</v>
      </c>
      <c r="O334" s="7">
        <v>2</v>
      </c>
      <c r="P334" s="7">
        <v>12.84494086728</v>
      </c>
      <c r="Q334" s="7"/>
      <c r="R334" s="7"/>
    </row>
    <row r="335" spans="1:18" x14ac:dyDescent="0.3">
      <c r="A335" s="7">
        <v>184</v>
      </c>
      <c r="B335" s="7">
        <v>59</v>
      </c>
      <c r="C335" s="7" t="s">
        <v>207</v>
      </c>
      <c r="D335" s="7">
        <v>0</v>
      </c>
      <c r="E335" s="7" t="s">
        <v>161</v>
      </c>
      <c r="F335" s="8" t="s">
        <v>19</v>
      </c>
      <c r="G335" s="9">
        <f t="shared" si="10"/>
        <v>58.509910205868998</v>
      </c>
      <c r="H335" s="6">
        <f t="shared" si="11"/>
        <v>4.8758258504890835</v>
      </c>
      <c r="I335" s="7">
        <v>275</v>
      </c>
      <c r="J335" s="7">
        <v>2</v>
      </c>
      <c r="K335" s="7">
        <v>1</v>
      </c>
      <c r="L335" s="7">
        <v>1</v>
      </c>
      <c r="M335" s="7">
        <v>1</v>
      </c>
      <c r="N335" s="7">
        <v>1</v>
      </c>
      <c r="O335" s="7">
        <v>2</v>
      </c>
      <c r="P335" s="7">
        <v>58.509910205868998</v>
      </c>
      <c r="Q335" s="7"/>
      <c r="R335" s="7"/>
    </row>
    <row r="336" spans="1:18" hidden="1" x14ac:dyDescent="0.3">
      <c r="A336" s="7">
        <v>184</v>
      </c>
      <c r="B336" s="7">
        <v>0</v>
      </c>
      <c r="C336" s="7" t="s">
        <v>207</v>
      </c>
      <c r="D336" s="7">
        <v>0</v>
      </c>
      <c r="E336" s="7" t="s">
        <v>162</v>
      </c>
      <c r="F336" s="8" t="s">
        <v>19</v>
      </c>
      <c r="G336" s="9">
        <f t="shared" si="10"/>
        <v>95.3693057380639</v>
      </c>
      <c r="H336" s="6">
        <f t="shared" si="11"/>
        <v>7.9474421448386581</v>
      </c>
      <c r="I336" s="7">
        <v>310</v>
      </c>
      <c r="J336" s="7">
        <v>3</v>
      </c>
      <c r="K336" s="7">
        <v>1</v>
      </c>
      <c r="L336" s="7">
        <v>1</v>
      </c>
      <c r="M336" s="7">
        <v>0</v>
      </c>
      <c r="N336" s="7">
        <v>0</v>
      </c>
      <c r="O336" s="7">
        <v>2</v>
      </c>
      <c r="P336" s="7">
        <v>95.3693057380639</v>
      </c>
      <c r="Q336" s="7"/>
      <c r="R336" s="7"/>
    </row>
  </sheetData>
  <autoFilter ref="A1:R336" xr:uid="{5390A518-CA2B-412B-9789-DBFE60ED37DF}">
    <filterColumn colId="10">
      <filters>
        <filter val="1"/>
      </filters>
    </filterColumn>
    <filterColumn colId="12">
      <filters>
        <filter val="1"/>
      </filters>
    </filterColumn>
    <filterColumn colId="13">
      <filters>
        <filter val="1"/>
      </filters>
    </filterColumn>
    <sortState xmlns:xlrd2="http://schemas.microsoft.com/office/spreadsheetml/2017/richdata2" ref="A119:R335">
      <sortCondition ref="A1:A336"/>
    </sortState>
  </autoFilter>
  <conditionalFormatting sqref="G2:G336">
    <cfRule type="colorScale" priority="1">
      <colorScale>
        <cfvo type="min"/>
        <cfvo type="percentile" val="50"/>
        <cfvo type="max"/>
        <color rgb="FFF8696B"/>
        <color rgb="FFFFEB84"/>
        <color rgb="FF63BE7B"/>
      </colorScale>
    </cfRule>
  </conditionalFormatting>
  <conditionalFormatting sqref="H2:H336">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62E3-FAA6-4CE2-9B65-A578DC084B78}">
  <dimension ref="B2:E66"/>
  <sheetViews>
    <sheetView zoomScale="70" zoomScaleNormal="70" workbookViewId="0">
      <selection activeCell="C2" sqref="C2"/>
    </sheetView>
  </sheetViews>
  <sheetFormatPr defaultRowHeight="14.4" x14ac:dyDescent="0.3"/>
  <cols>
    <col min="2" max="2" width="55.88671875" customWidth="1"/>
    <col min="3" max="3" width="64" customWidth="1"/>
    <col min="4" max="4" width="11.5546875" customWidth="1"/>
    <col min="5" max="5" width="15" customWidth="1"/>
  </cols>
  <sheetData>
    <row r="2" spans="2:5" ht="172.8" x14ac:dyDescent="0.3">
      <c r="B2" t="s">
        <v>208</v>
      </c>
      <c r="C2" s="151" t="s">
        <v>209</v>
      </c>
    </row>
    <row r="3" spans="2:5" ht="16.2" thickBot="1" x14ac:dyDescent="0.35">
      <c r="B3" s="52" t="s">
        <v>210</v>
      </c>
      <c r="C3" s="53" t="s">
        <v>211</v>
      </c>
      <c r="D3" s="54" t="s">
        <v>212</v>
      </c>
      <c r="E3" s="52" t="s">
        <v>213</v>
      </c>
    </row>
    <row r="4" spans="2:5" ht="46.8" x14ac:dyDescent="0.3">
      <c r="B4" s="55" t="s">
        <v>214</v>
      </c>
      <c r="C4" s="56" t="s">
        <v>215</v>
      </c>
      <c r="D4" s="57" t="s">
        <v>216</v>
      </c>
      <c r="E4" s="58" t="s">
        <v>217</v>
      </c>
    </row>
    <row r="5" spans="2:5" ht="78" x14ac:dyDescent="0.3">
      <c r="B5" s="59" t="s">
        <v>218</v>
      </c>
      <c r="C5" s="56" t="s">
        <v>219</v>
      </c>
      <c r="D5" s="19" t="s">
        <v>220</v>
      </c>
      <c r="E5" s="19" t="s">
        <v>221</v>
      </c>
    </row>
    <row r="6" spans="2:5" ht="62.4" x14ac:dyDescent="0.3">
      <c r="B6" s="59" t="s">
        <v>222</v>
      </c>
      <c r="C6" s="56" t="s">
        <v>223</v>
      </c>
      <c r="D6" s="57" t="s">
        <v>224</v>
      </c>
      <c r="E6" s="57" t="s">
        <v>225</v>
      </c>
    </row>
    <row r="7" spans="2:5" ht="46.8" x14ac:dyDescent="0.3">
      <c r="B7" s="59" t="s">
        <v>226</v>
      </c>
      <c r="C7" s="56" t="s">
        <v>227</v>
      </c>
      <c r="D7" s="19" t="s">
        <v>216</v>
      </c>
      <c r="E7" s="19" t="s">
        <v>228</v>
      </c>
    </row>
    <row r="8" spans="2:5" ht="31.2" x14ac:dyDescent="0.3">
      <c r="B8" s="59" t="s">
        <v>229</v>
      </c>
      <c r="C8" s="56" t="s">
        <v>230</v>
      </c>
      <c r="D8" s="57" t="s">
        <v>231</v>
      </c>
      <c r="E8" s="57" t="s">
        <v>232</v>
      </c>
    </row>
    <row r="9" spans="2:5" ht="62.4" x14ac:dyDescent="0.3">
      <c r="B9" s="59" t="s">
        <v>233</v>
      </c>
      <c r="C9" s="56" t="s">
        <v>234</v>
      </c>
      <c r="D9" s="19" t="s">
        <v>235</v>
      </c>
      <c r="E9" s="19" t="s">
        <v>236</v>
      </c>
    </row>
    <row r="10" spans="2:5" ht="46.8" x14ac:dyDescent="0.3">
      <c r="B10" s="59" t="s">
        <v>237</v>
      </c>
      <c r="C10" s="56" t="s">
        <v>238</v>
      </c>
      <c r="D10" s="57" t="s">
        <v>235</v>
      </c>
      <c r="E10" s="57" t="s">
        <v>239</v>
      </c>
    </row>
    <row r="11" spans="2:5" ht="62.4" x14ac:dyDescent="0.3">
      <c r="B11" s="59" t="s">
        <v>240</v>
      </c>
      <c r="C11" s="56" t="s">
        <v>241</v>
      </c>
      <c r="D11" s="19" t="s">
        <v>220</v>
      </c>
      <c r="E11" s="19" t="s">
        <v>242</v>
      </c>
    </row>
    <row r="12" spans="2:5" ht="15.6" x14ac:dyDescent="0.3">
      <c r="B12" s="59" t="s">
        <v>243</v>
      </c>
      <c r="C12" s="56"/>
      <c r="D12" s="57" t="s">
        <v>235</v>
      </c>
      <c r="E12" s="57" t="s">
        <v>244</v>
      </c>
    </row>
    <row r="13" spans="2:5" ht="46.8" x14ac:dyDescent="0.3">
      <c r="B13" s="59" t="s">
        <v>245</v>
      </c>
      <c r="C13" s="56" t="s">
        <v>246</v>
      </c>
      <c r="D13" s="19" t="s">
        <v>216</v>
      </c>
      <c r="E13" s="19" t="s">
        <v>247</v>
      </c>
    </row>
    <row r="14" spans="2:5" ht="15.6" x14ac:dyDescent="0.3">
      <c r="B14" s="59" t="s">
        <v>248</v>
      </c>
      <c r="C14" s="56" t="s">
        <v>249</v>
      </c>
      <c r="D14" s="57" t="s">
        <v>250</v>
      </c>
      <c r="E14" s="57" t="s">
        <v>251</v>
      </c>
    </row>
    <row r="15" spans="2:5" ht="15.6" x14ac:dyDescent="0.3">
      <c r="B15" s="59" t="s">
        <v>252</v>
      </c>
      <c r="C15" s="56" t="s">
        <v>253</v>
      </c>
      <c r="D15" s="19" t="s">
        <v>216</v>
      </c>
      <c r="E15" s="19" t="s">
        <v>254</v>
      </c>
    </row>
    <row r="16" spans="2:5" ht="31.2" x14ac:dyDescent="0.3">
      <c r="B16" s="59" t="s">
        <v>255</v>
      </c>
      <c r="C16" s="56" t="s">
        <v>230</v>
      </c>
      <c r="D16" s="57" t="s">
        <v>231</v>
      </c>
      <c r="E16" s="57" t="s">
        <v>256</v>
      </c>
    </row>
    <row r="17" spans="2:5" ht="31.8" thickBot="1" x14ac:dyDescent="0.35">
      <c r="B17" s="60" t="s">
        <v>257</v>
      </c>
      <c r="C17" s="61" t="s">
        <v>258</v>
      </c>
      <c r="D17" s="20" t="s">
        <v>220</v>
      </c>
      <c r="E17" s="20" t="s">
        <v>259</v>
      </c>
    </row>
    <row r="18" spans="2:5" ht="15.6" x14ac:dyDescent="0.3">
      <c r="B18" s="62" t="s">
        <v>214</v>
      </c>
      <c r="C18" s="63" t="s">
        <v>260</v>
      </c>
      <c r="D18" s="64" t="s">
        <v>261</v>
      </c>
      <c r="E18" s="65" t="s">
        <v>262</v>
      </c>
    </row>
    <row r="19" spans="2:5" ht="15.6" x14ac:dyDescent="0.3">
      <c r="B19" s="59" t="s">
        <v>263</v>
      </c>
      <c r="C19" s="56" t="s">
        <v>264</v>
      </c>
      <c r="D19" s="19" t="s">
        <v>231</v>
      </c>
      <c r="E19" s="19" t="s">
        <v>265</v>
      </c>
    </row>
    <row r="20" spans="2:5" ht="15.6" x14ac:dyDescent="0.3">
      <c r="B20" s="59" t="s">
        <v>222</v>
      </c>
      <c r="C20" s="56" t="s">
        <v>253</v>
      </c>
      <c r="D20" s="57" t="s">
        <v>224</v>
      </c>
      <c r="E20" s="57" t="s">
        <v>266</v>
      </c>
    </row>
    <row r="21" spans="2:5" ht="15.6" x14ac:dyDescent="0.3">
      <c r="B21" s="59" t="s">
        <v>267</v>
      </c>
      <c r="C21" s="56" t="s">
        <v>268</v>
      </c>
      <c r="D21" s="19" t="s">
        <v>231</v>
      </c>
      <c r="E21" s="19" t="s">
        <v>269</v>
      </c>
    </row>
    <row r="22" spans="2:5" ht="15.6" x14ac:dyDescent="0.3">
      <c r="B22" s="59" t="s">
        <v>270</v>
      </c>
      <c r="C22" s="56" t="s">
        <v>271</v>
      </c>
      <c r="D22" s="57" t="s">
        <v>231</v>
      </c>
      <c r="E22" s="57" t="s">
        <v>272</v>
      </c>
    </row>
    <row r="23" spans="2:5" ht="15.6" x14ac:dyDescent="0.3">
      <c r="B23" s="59" t="s">
        <v>226</v>
      </c>
      <c r="C23" s="63" t="s">
        <v>273</v>
      </c>
      <c r="D23" s="19" t="s">
        <v>261</v>
      </c>
      <c r="E23" s="19" t="s">
        <v>274</v>
      </c>
    </row>
    <row r="24" spans="2:5" ht="31.2" x14ac:dyDescent="0.3">
      <c r="B24" s="59" t="s">
        <v>229</v>
      </c>
      <c r="C24" s="56" t="s">
        <v>230</v>
      </c>
      <c r="D24" s="57" t="s">
        <v>231</v>
      </c>
      <c r="E24" s="57" t="s">
        <v>275</v>
      </c>
    </row>
    <row r="25" spans="2:5" ht="31.2" x14ac:dyDescent="0.3">
      <c r="B25" s="59" t="s">
        <v>233</v>
      </c>
      <c r="C25" s="56" t="s">
        <v>276</v>
      </c>
      <c r="D25" s="19" t="s">
        <v>235</v>
      </c>
      <c r="E25" s="19" t="s">
        <v>277</v>
      </c>
    </row>
    <row r="26" spans="2:5" ht="31.2" x14ac:dyDescent="0.3">
      <c r="B26" s="59" t="s">
        <v>237</v>
      </c>
      <c r="C26" s="56" t="s">
        <v>278</v>
      </c>
      <c r="D26" s="57" t="s">
        <v>235</v>
      </c>
      <c r="E26" s="57" t="s">
        <v>279</v>
      </c>
    </row>
    <row r="27" spans="2:5" ht="78" x14ac:dyDescent="0.3">
      <c r="B27" s="59" t="s">
        <v>240</v>
      </c>
      <c r="C27" s="56" t="s">
        <v>280</v>
      </c>
      <c r="D27" s="19" t="s">
        <v>220</v>
      </c>
      <c r="E27" s="19" t="s">
        <v>281</v>
      </c>
    </row>
    <row r="28" spans="2:5" ht="15.6" x14ac:dyDescent="0.3">
      <c r="B28" s="59" t="s">
        <v>243</v>
      </c>
      <c r="C28" s="56" t="s">
        <v>282</v>
      </c>
      <c r="D28" s="57" t="s">
        <v>235</v>
      </c>
      <c r="E28" s="57" t="s">
        <v>283</v>
      </c>
    </row>
    <row r="29" spans="2:5" ht="31.2" x14ac:dyDescent="0.3">
      <c r="B29" s="59" t="s">
        <v>245</v>
      </c>
      <c r="C29" s="56" t="s">
        <v>278</v>
      </c>
      <c r="D29" s="19" t="s">
        <v>261</v>
      </c>
      <c r="E29" s="19" t="s">
        <v>284</v>
      </c>
    </row>
    <row r="30" spans="2:5" ht="31.2" x14ac:dyDescent="0.3">
      <c r="B30" s="59" t="s">
        <v>248</v>
      </c>
      <c r="C30" s="56" t="s">
        <v>285</v>
      </c>
      <c r="D30" s="57" t="s">
        <v>286</v>
      </c>
      <c r="E30" s="57" t="s">
        <v>287</v>
      </c>
    </row>
    <row r="31" spans="2:5" ht="31.2" x14ac:dyDescent="0.3">
      <c r="B31" s="59" t="s">
        <v>252</v>
      </c>
      <c r="C31" s="56" t="s">
        <v>278</v>
      </c>
      <c r="D31" s="19" t="s">
        <v>261</v>
      </c>
      <c r="E31" s="19" t="s">
        <v>288</v>
      </c>
    </row>
    <row r="32" spans="2:5" ht="31.2" x14ac:dyDescent="0.3">
      <c r="B32" s="59" t="s">
        <v>255</v>
      </c>
      <c r="C32" s="56" t="s">
        <v>230</v>
      </c>
      <c r="D32" s="57" t="s">
        <v>231</v>
      </c>
      <c r="E32" s="57" t="s">
        <v>289</v>
      </c>
    </row>
    <row r="33" spans="2:5" ht="47.4" thickBot="1" x14ac:dyDescent="0.35">
      <c r="B33" s="60" t="s">
        <v>257</v>
      </c>
      <c r="C33" s="61" t="s">
        <v>290</v>
      </c>
      <c r="D33" s="20" t="s">
        <v>220</v>
      </c>
      <c r="E33" s="20" t="s">
        <v>291</v>
      </c>
    </row>
    <row r="34" spans="2:5" ht="62.4" x14ac:dyDescent="0.3">
      <c r="B34" s="62" t="s">
        <v>292</v>
      </c>
      <c r="C34" s="63" t="s">
        <v>293</v>
      </c>
      <c r="D34" s="57" t="s">
        <v>231</v>
      </c>
      <c r="E34" s="65" t="s">
        <v>294</v>
      </c>
    </row>
    <row r="35" spans="2:5" ht="62.4" x14ac:dyDescent="0.3">
      <c r="B35" s="59" t="s">
        <v>295</v>
      </c>
      <c r="C35" s="56" t="s">
        <v>296</v>
      </c>
      <c r="D35" s="19" t="s">
        <v>231</v>
      </c>
      <c r="E35" s="19" t="s">
        <v>297</v>
      </c>
    </row>
    <row r="36" spans="2:5" ht="16.2" thickBot="1" x14ac:dyDescent="0.35">
      <c r="B36" s="60" t="s">
        <v>298</v>
      </c>
      <c r="C36" s="61" t="s">
        <v>299</v>
      </c>
      <c r="D36" s="57" t="s">
        <v>231</v>
      </c>
      <c r="E36" s="66" t="s">
        <v>300</v>
      </c>
    </row>
    <row r="37" spans="2:5" ht="15.6" x14ac:dyDescent="0.3">
      <c r="B37" s="62" t="s">
        <v>214</v>
      </c>
      <c r="C37" s="63"/>
      <c r="D37" s="19" t="s">
        <v>216</v>
      </c>
      <c r="E37" s="21" t="s">
        <v>301</v>
      </c>
    </row>
    <row r="38" spans="2:5" ht="15.6" x14ac:dyDescent="0.3">
      <c r="B38" s="59" t="s">
        <v>218</v>
      </c>
      <c r="C38" s="56"/>
      <c r="D38" s="57" t="s">
        <v>220</v>
      </c>
      <c r="E38" s="57" t="s">
        <v>302</v>
      </c>
    </row>
    <row r="39" spans="2:5" ht="15.6" x14ac:dyDescent="0.3">
      <c r="B39" s="59" t="s">
        <v>222</v>
      </c>
      <c r="C39" s="56"/>
      <c r="D39" s="19" t="s">
        <v>224</v>
      </c>
      <c r="E39" s="19" t="s">
        <v>303</v>
      </c>
    </row>
    <row r="40" spans="2:5" ht="15.6" x14ac:dyDescent="0.3">
      <c r="B40" s="59" t="s">
        <v>226</v>
      </c>
      <c r="C40" s="56"/>
      <c r="D40" s="57" t="s">
        <v>216</v>
      </c>
      <c r="E40" s="57" t="s">
        <v>304</v>
      </c>
    </row>
    <row r="41" spans="2:5" ht="15.6" x14ac:dyDescent="0.3">
      <c r="B41" s="59" t="s">
        <v>229</v>
      </c>
      <c r="C41" s="56"/>
      <c r="D41" s="19" t="s">
        <v>231</v>
      </c>
      <c r="E41" s="19" t="s">
        <v>305</v>
      </c>
    </row>
    <row r="42" spans="2:5" ht="15.6" x14ac:dyDescent="0.3">
      <c r="B42" s="59" t="s">
        <v>233</v>
      </c>
      <c r="C42" s="56"/>
      <c r="D42" s="57" t="s">
        <v>235</v>
      </c>
      <c r="E42" s="57" t="s">
        <v>306</v>
      </c>
    </row>
    <row r="43" spans="2:5" ht="15.6" x14ac:dyDescent="0.3">
      <c r="B43" s="59" t="s">
        <v>237</v>
      </c>
      <c r="C43" s="56"/>
      <c r="D43" s="19" t="s">
        <v>235</v>
      </c>
      <c r="E43" s="19" t="s">
        <v>307</v>
      </c>
    </row>
    <row r="44" spans="2:5" ht="15.6" x14ac:dyDescent="0.3">
      <c r="B44" s="59" t="s">
        <v>240</v>
      </c>
      <c r="C44" s="56"/>
      <c r="D44" s="57" t="s">
        <v>220</v>
      </c>
      <c r="E44" s="57" t="s">
        <v>308</v>
      </c>
    </row>
    <row r="45" spans="2:5" ht="15.6" x14ac:dyDescent="0.3">
      <c r="B45" s="59" t="s">
        <v>243</v>
      </c>
      <c r="C45" s="56"/>
      <c r="D45" s="19" t="s">
        <v>235</v>
      </c>
      <c r="E45" s="19" t="s">
        <v>309</v>
      </c>
    </row>
    <row r="46" spans="2:5" ht="15.6" x14ac:dyDescent="0.3">
      <c r="B46" s="59" t="s">
        <v>245</v>
      </c>
      <c r="C46" s="56"/>
      <c r="D46" s="57" t="s">
        <v>216</v>
      </c>
      <c r="E46" s="57" t="s">
        <v>310</v>
      </c>
    </row>
    <row r="47" spans="2:5" ht="15.6" x14ac:dyDescent="0.3">
      <c r="B47" s="59" t="s">
        <v>248</v>
      </c>
      <c r="C47" s="56"/>
      <c r="D47" s="19" t="s">
        <v>250</v>
      </c>
      <c r="E47" s="19" t="s">
        <v>311</v>
      </c>
    </row>
    <row r="48" spans="2:5" ht="15.6" x14ac:dyDescent="0.3">
      <c r="B48" s="59" t="s">
        <v>252</v>
      </c>
      <c r="C48" s="56"/>
      <c r="D48" s="57" t="s">
        <v>216</v>
      </c>
      <c r="E48" s="57" t="s">
        <v>312</v>
      </c>
    </row>
    <row r="49" spans="2:5" ht="15.6" x14ac:dyDescent="0.3">
      <c r="B49" s="59" t="s">
        <v>255</v>
      </c>
      <c r="C49" s="56"/>
      <c r="D49" s="19" t="s">
        <v>231</v>
      </c>
      <c r="E49" s="19" t="s">
        <v>313</v>
      </c>
    </row>
    <row r="50" spans="2:5" ht="16.2" thickBot="1" x14ac:dyDescent="0.35">
      <c r="B50" s="60" t="s">
        <v>257</v>
      </c>
      <c r="C50" s="61"/>
      <c r="D50" s="66" t="s">
        <v>220</v>
      </c>
      <c r="E50" s="66" t="s">
        <v>314</v>
      </c>
    </row>
    <row r="51" spans="2:5" ht="15.6" x14ac:dyDescent="0.3">
      <c r="B51" s="62" t="s">
        <v>214</v>
      </c>
      <c r="C51" s="63"/>
      <c r="D51" s="67" t="s">
        <v>261</v>
      </c>
      <c r="E51" s="21" t="s">
        <v>315</v>
      </c>
    </row>
    <row r="52" spans="2:5" ht="15.6" x14ac:dyDescent="0.3">
      <c r="B52" s="59" t="s">
        <v>263</v>
      </c>
      <c r="C52" s="56"/>
      <c r="D52" s="57" t="s">
        <v>231</v>
      </c>
      <c r="E52" s="57" t="s">
        <v>316</v>
      </c>
    </row>
    <row r="53" spans="2:5" ht="15.6" x14ac:dyDescent="0.3">
      <c r="B53" s="59" t="s">
        <v>222</v>
      </c>
      <c r="C53" s="56"/>
      <c r="D53" s="19" t="s">
        <v>224</v>
      </c>
      <c r="E53" s="19" t="s">
        <v>317</v>
      </c>
    </row>
    <row r="54" spans="2:5" ht="15.6" x14ac:dyDescent="0.3">
      <c r="B54" s="59" t="s">
        <v>267</v>
      </c>
      <c r="C54" s="56"/>
      <c r="D54" s="57" t="s">
        <v>231</v>
      </c>
      <c r="E54" s="57" t="s">
        <v>318</v>
      </c>
    </row>
    <row r="55" spans="2:5" ht="15.6" x14ac:dyDescent="0.3">
      <c r="B55" s="59" t="s">
        <v>270</v>
      </c>
      <c r="C55" s="56"/>
      <c r="D55" s="19" t="s">
        <v>231</v>
      </c>
      <c r="E55" s="19" t="s">
        <v>319</v>
      </c>
    </row>
    <row r="56" spans="2:5" ht="15.6" x14ac:dyDescent="0.3">
      <c r="B56" s="59" t="s">
        <v>226</v>
      </c>
      <c r="C56" s="56"/>
      <c r="D56" s="57" t="s">
        <v>261</v>
      </c>
      <c r="E56" s="57" t="s">
        <v>320</v>
      </c>
    </row>
    <row r="57" spans="2:5" ht="15.6" x14ac:dyDescent="0.3">
      <c r="B57" s="59" t="s">
        <v>229</v>
      </c>
      <c r="C57" s="56"/>
      <c r="D57" s="19" t="s">
        <v>231</v>
      </c>
      <c r="E57" s="19" t="s">
        <v>321</v>
      </c>
    </row>
    <row r="58" spans="2:5" ht="15.6" x14ac:dyDescent="0.3">
      <c r="B58" s="59" t="s">
        <v>233</v>
      </c>
      <c r="C58" s="56"/>
      <c r="D58" s="57" t="s">
        <v>235</v>
      </c>
      <c r="E58" s="57" t="s">
        <v>322</v>
      </c>
    </row>
    <row r="59" spans="2:5" ht="15.6" x14ac:dyDescent="0.3">
      <c r="B59" s="59" t="s">
        <v>237</v>
      </c>
      <c r="C59" s="56"/>
      <c r="D59" s="19" t="s">
        <v>235</v>
      </c>
      <c r="E59" s="19" t="s">
        <v>323</v>
      </c>
    </row>
    <row r="60" spans="2:5" ht="15.6" x14ac:dyDescent="0.3">
      <c r="B60" s="59" t="s">
        <v>240</v>
      </c>
      <c r="C60" s="56"/>
      <c r="D60" s="57" t="s">
        <v>220</v>
      </c>
      <c r="E60" s="57" t="s">
        <v>324</v>
      </c>
    </row>
    <row r="61" spans="2:5" ht="15.6" x14ac:dyDescent="0.3">
      <c r="B61" s="59" t="s">
        <v>243</v>
      </c>
      <c r="C61" s="56"/>
      <c r="D61" s="19" t="s">
        <v>231</v>
      </c>
      <c r="E61" s="19" t="s">
        <v>325</v>
      </c>
    </row>
    <row r="62" spans="2:5" ht="15.6" x14ac:dyDescent="0.3">
      <c r="B62" s="59" t="s">
        <v>245</v>
      </c>
      <c r="C62" s="56"/>
      <c r="D62" s="57" t="s">
        <v>261</v>
      </c>
      <c r="E62" s="57" t="s">
        <v>326</v>
      </c>
    </row>
    <row r="63" spans="2:5" ht="15.6" x14ac:dyDescent="0.3">
      <c r="B63" s="59" t="s">
        <v>248</v>
      </c>
      <c r="C63" s="56"/>
      <c r="D63" s="19" t="s">
        <v>286</v>
      </c>
      <c r="E63" s="19" t="s">
        <v>327</v>
      </c>
    </row>
    <row r="64" spans="2:5" ht="15.6" x14ac:dyDescent="0.3">
      <c r="B64" s="59" t="s">
        <v>252</v>
      </c>
      <c r="C64" s="56"/>
      <c r="D64" s="57" t="s">
        <v>261</v>
      </c>
      <c r="E64" s="57" t="s">
        <v>328</v>
      </c>
    </row>
    <row r="65" spans="2:5" ht="15.6" x14ac:dyDescent="0.3">
      <c r="B65" s="59" t="s">
        <v>255</v>
      </c>
      <c r="C65" s="56"/>
      <c r="D65" s="19" t="s">
        <v>231</v>
      </c>
      <c r="E65" s="19" t="s">
        <v>329</v>
      </c>
    </row>
    <row r="66" spans="2:5" ht="15.6" x14ac:dyDescent="0.3">
      <c r="B66" s="59" t="s">
        <v>257</v>
      </c>
      <c r="C66" s="56"/>
      <c r="D66" s="68" t="s">
        <v>220</v>
      </c>
      <c r="E66" s="57" t="s">
        <v>330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5020-C0EB-4F4D-8A71-3FB5F620A05A}">
  <dimension ref="B2:H66"/>
  <sheetViews>
    <sheetView workbookViewId="0">
      <selection activeCell="F67" sqref="F67"/>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c r="G3" s="30"/>
      <c r="H3" s="31"/>
    </row>
    <row r="4" spans="2:8" ht="15.6" x14ac:dyDescent="0.3">
      <c r="B4" s="32" t="s">
        <v>218</v>
      </c>
      <c r="C4" s="33" t="s">
        <v>220</v>
      </c>
      <c r="D4" s="33" t="s">
        <v>221</v>
      </c>
      <c r="E4" s="33" t="s">
        <v>334</v>
      </c>
      <c r="F4" s="33"/>
      <c r="G4" s="34"/>
      <c r="H4" s="35"/>
    </row>
    <row r="5" spans="2:8" ht="15.6" x14ac:dyDescent="0.3">
      <c r="B5" s="32" t="s">
        <v>222</v>
      </c>
      <c r="C5" s="28" t="s">
        <v>224</v>
      </c>
      <c r="D5" s="28" t="s">
        <v>225</v>
      </c>
      <c r="E5" s="28" t="s">
        <v>334</v>
      </c>
      <c r="F5" s="28"/>
      <c r="G5" s="30"/>
      <c r="H5" s="31"/>
    </row>
    <row r="6" spans="2:8" ht="15.6" x14ac:dyDescent="0.3">
      <c r="B6" s="32" t="s">
        <v>226</v>
      </c>
      <c r="C6" s="33" t="s">
        <v>216</v>
      </c>
      <c r="D6" s="33" t="s">
        <v>228</v>
      </c>
      <c r="E6" s="33" t="s">
        <v>334</v>
      </c>
      <c r="F6" s="33"/>
      <c r="G6" s="34"/>
      <c r="H6" s="35"/>
    </row>
    <row r="7" spans="2:8" ht="15.6" x14ac:dyDescent="0.3">
      <c r="B7" s="32" t="s">
        <v>229</v>
      </c>
      <c r="C7" s="28" t="s">
        <v>231</v>
      </c>
      <c r="D7" s="28" t="s">
        <v>232</v>
      </c>
      <c r="E7" s="28" t="s">
        <v>334</v>
      </c>
      <c r="F7" s="28"/>
      <c r="G7" s="30"/>
      <c r="H7" s="31"/>
    </row>
    <row r="8" spans="2:8" ht="15.6" x14ac:dyDescent="0.3">
      <c r="B8" s="32" t="s">
        <v>233</v>
      </c>
      <c r="C8" s="33" t="s">
        <v>235</v>
      </c>
      <c r="D8" s="33" t="s">
        <v>236</v>
      </c>
      <c r="E8" s="33" t="s">
        <v>334</v>
      </c>
      <c r="F8" s="33"/>
      <c r="G8" s="34"/>
      <c r="H8" s="35"/>
    </row>
    <row r="9" spans="2:8" ht="15.6" x14ac:dyDescent="0.3">
      <c r="B9" s="32" t="s">
        <v>237</v>
      </c>
      <c r="C9" s="28" t="s">
        <v>235</v>
      </c>
      <c r="D9" s="28" t="s">
        <v>239</v>
      </c>
      <c r="E9" s="28" t="s">
        <v>334</v>
      </c>
      <c r="F9" s="28"/>
      <c r="G9" s="30"/>
      <c r="H9" s="31"/>
    </row>
    <row r="10" spans="2:8" ht="15.6" x14ac:dyDescent="0.3">
      <c r="B10" s="32" t="s">
        <v>240</v>
      </c>
      <c r="C10" s="33" t="s">
        <v>220</v>
      </c>
      <c r="D10" s="33" t="s">
        <v>242</v>
      </c>
      <c r="E10" s="33" t="s">
        <v>334</v>
      </c>
      <c r="F10" s="33"/>
      <c r="G10" s="34"/>
      <c r="H10" s="35"/>
    </row>
    <row r="11" spans="2:8" ht="15.6" x14ac:dyDescent="0.3">
      <c r="B11" s="32" t="s">
        <v>243</v>
      </c>
      <c r="C11" s="28" t="s">
        <v>235</v>
      </c>
      <c r="D11" s="28" t="s">
        <v>244</v>
      </c>
      <c r="E11" s="28" t="s">
        <v>334</v>
      </c>
      <c r="F11" s="28"/>
      <c r="G11" s="30"/>
      <c r="H11" s="31"/>
    </row>
    <row r="12" spans="2:8" ht="15.6" x14ac:dyDescent="0.3">
      <c r="B12" s="32" t="s">
        <v>245</v>
      </c>
      <c r="C12" s="33" t="s">
        <v>216</v>
      </c>
      <c r="D12" s="33" t="s">
        <v>247</v>
      </c>
      <c r="E12" s="33" t="s">
        <v>334</v>
      </c>
      <c r="F12" s="33"/>
      <c r="G12" s="34"/>
      <c r="H12" s="35"/>
    </row>
    <row r="13" spans="2:8" ht="15.6" x14ac:dyDescent="0.3">
      <c r="B13" s="32" t="s">
        <v>248</v>
      </c>
      <c r="C13" s="28" t="s">
        <v>250</v>
      </c>
      <c r="D13" s="28" t="s">
        <v>251</v>
      </c>
      <c r="E13" s="28" t="s">
        <v>334</v>
      </c>
      <c r="F13" s="28"/>
      <c r="G13" s="30"/>
      <c r="H13" s="31"/>
    </row>
    <row r="14" spans="2:8" ht="15.6" x14ac:dyDescent="0.3">
      <c r="B14" s="32" t="s">
        <v>252</v>
      </c>
      <c r="C14" s="33" t="s">
        <v>216</v>
      </c>
      <c r="D14" s="33" t="s">
        <v>254</v>
      </c>
      <c r="E14" s="33" t="s">
        <v>334</v>
      </c>
      <c r="F14" s="33"/>
      <c r="G14" s="34"/>
      <c r="H14" s="35"/>
    </row>
    <row r="15" spans="2:8" ht="15.6" x14ac:dyDescent="0.3">
      <c r="B15" s="32" t="s">
        <v>255</v>
      </c>
      <c r="C15" s="28" t="s">
        <v>231</v>
      </c>
      <c r="D15" s="28" t="s">
        <v>256</v>
      </c>
      <c r="E15" s="28" t="s">
        <v>334</v>
      </c>
      <c r="F15" s="28"/>
      <c r="G15" s="30"/>
      <c r="H15" s="31"/>
    </row>
    <row r="16" spans="2:8" ht="16.2" thickBot="1" x14ac:dyDescent="0.35">
      <c r="B16" s="36" t="s">
        <v>257</v>
      </c>
      <c r="C16" s="37" t="s">
        <v>220</v>
      </c>
      <c r="D16" s="37" t="s">
        <v>259</v>
      </c>
      <c r="E16" s="37" t="s">
        <v>334</v>
      </c>
      <c r="F16" s="37"/>
      <c r="G16" s="38"/>
      <c r="H16" s="39"/>
    </row>
    <row r="17" spans="2:8" ht="15.6" x14ac:dyDescent="0.3">
      <c r="B17" s="40" t="s">
        <v>214</v>
      </c>
      <c r="C17" s="41" t="s">
        <v>261</v>
      </c>
      <c r="D17" s="41" t="s">
        <v>262</v>
      </c>
      <c r="E17" s="41" t="s">
        <v>334</v>
      </c>
      <c r="F17" s="41"/>
      <c r="G17" s="42"/>
      <c r="H17" s="31"/>
    </row>
    <row r="18" spans="2:8" ht="15.6" x14ac:dyDescent="0.3">
      <c r="B18" s="32" t="s">
        <v>263</v>
      </c>
      <c r="C18" s="33" t="s">
        <v>235</v>
      </c>
      <c r="D18" s="33" t="s">
        <v>265</v>
      </c>
      <c r="E18" s="33" t="s">
        <v>334</v>
      </c>
      <c r="F18" s="33"/>
      <c r="G18" s="34"/>
      <c r="H18" s="35"/>
    </row>
    <row r="19" spans="2:8" ht="15.6" x14ac:dyDescent="0.3">
      <c r="B19" s="32" t="s">
        <v>222</v>
      </c>
      <c r="C19" s="28" t="s">
        <v>224</v>
      </c>
      <c r="D19" s="28" t="s">
        <v>266</v>
      </c>
      <c r="E19" s="28" t="s">
        <v>334</v>
      </c>
      <c r="F19" s="28"/>
      <c r="G19" s="30"/>
      <c r="H19" s="31"/>
    </row>
    <row r="20" spans="2:8" ht="15.6" x14ac:dyDescent="0.3">
      <c r="B20" s="32" t="s">
        <v>267</v>
      </c>
      <c r="C20" s="33" t="s">
        <v>231</v>
      </c>
      <c r="D20" s="33" t="s">
        <v>269</v>
      </c>
      <c r="E20" s="33" t="s">
        <v>334</v>
      </c>
      <c r="F20" s="33"/>
      <c r="G20" s="34"/>
      <c r="H20" s="35"/>
    </row>
    <row r="21" spans="2:8" ht="15.6" x14ac:dyDescent="0.3">
      <c r="B21" s="32" t="s">
        <v>270</v>
      </c>
      <c r="C21" s="28" t="s">
        <v>231</v>
      </c>
      <c r="D21" s="28" t="s">
        <v>272</v>
      </c>
      <c r="E21" s="28" t="s">
        <v>334</v>
      </c>
      <c r="F21" s="28"/>
      <c r="G21" s="30"/>
      <c r="H21" s="31"/>
    </row>
    <row r="22" spans="2:8" ht="15.6" x14ac:dyDescent="0.3">
      <c r="B22" s="32" t="s">
        <v>226</v>
      </c>
      <c r="C22" s="33" t="s">
        <v>261</v>
      </c>
      <c r="D22" s="33" t="s">
        <v>274</v>
      </c>
      <c r="E22" s="33" t="s">
        <v>334</v>
      </c>
      <c r="F22" s="43"/>
      <c r="G22" s="44"/>
      <c r="H22" s="35"/>
    </row>
    <row r="23" spans="2:8" ht="15.6" x14ac:dyDescent="0.3">
      <c r="B23" s="32" t="s">
        <v>229</v>
      </c>
      <c r="C23" s="28" t="s">
        <v>231</v>
      </c>
      <c r="D23" s="28" t="s">
        <v>275</v>
      </c>
      <c r="E23" s="28" t="s">
        <v>334</v>
      </c>
      <c r="F23" s="28"/>
      <c r="G23" s="30"/>
      <c r="H23" s="31"/>
    </row>
    <row r="24" spans="2:8" ht="15.6" x14ac:dyDescent="0.3">
      <c r="B24" s="32" t="s">
        <v>233</v>
      </c>
      <c r="C24" s="33" t="s">
        <v>235</v>
      </c>
      <c r="D24" s="33" t="s">
        <v>277</v>
      </c>
      <c r="E24" s="33" t="s">
        <v>334</v>
      </c>
      <c r="F24" s="33"/>
      <c r="G24" s="34"/>
      <c r="H24" s="35"/>
    </row>
    <row r="25" spans="2:8" ht="15.6" x14ac:dyDescent="0.3">
      <c r="B25" s="32" t="s">
        <v>237</v>
      </c>
      <c r="C25" s="28" t="s">
        <v>235</v>
      </c>
      <c r="D25" s="28" t="s">
        <v>279</v>
      </c>
      <c r="E25" s="28" t="s">
        <v>334</v>
      </c>
      <c r="F25" s="28"/>
      <c r="G25" s="30"/>
      <c r="H25" s="31"/>
    </row>
    <row r="26" spans="2:8" ht="15.6" x14ac:dyDescent="0.3">
      <c r="B26" s="32" t="s">
        <v>240</v>
      </c>
      <c r="C26" s="33" t="s">
        <v>220</v>
      </c>
      <c r="D26" s="33" t="s">
        <v>281</v>
      </c>
      <c r="E26" s="33" t="s">
        <v>334</v>
      </c>
      <c r="F26" s="33"/>
      <c r="G26" s="34"/>
      <c r="H26" s="35"/>
    </row>
    <row r="27" spans="2:8" ht="15.6" x14ac:dyDescent="0.3">
      <c r="B27" s="32" t="s">
        <v>243</v>
      </c>
      <c r="C27" s="28" t="s">
        <v>235</v>
      </c>
      <c r="D27" s="28" t="s">
        <v>283</v>
      </c>
      <c r="E27" s="28" t="s">
        <v>334</v>
      </c>
      <c r="F27" s="28"/>
      <c r="G27" s="30"/>
      <c r="H27" s="31"/>
    </row>
    <row r="28" spans="2:8" ht="15.6" x14ac:dyDescent="0.3">
      <c r="B28" s="32" t="s">
        <v>245</v>
      </c>
      <c r="C28" s="33" t="s">
        <v>261</v>
      </c>
      <c r="D28" s="33" t="s">
        <v>284</v>
      </c>
      <c r="E28" s="33" t="s">
        <v>334</v>
      </c>
      <c r="F28" s="33"/>
      <c r="G28" s="34"/>
      <c r="H28" s="35"/>
    </row>
    <row r="29" spans="2:8" ht="15.6" x14ac:dyDescent="0.3">
      <c r="B29" s="32" t="s">
        <v>248</v>
      </c>
      <c r="C29" s="28" t="s">
        <v>335</v>
      </c>
      <c r="D29" s="28" t="s">
        <v>287</v>
      </c>
      <c r="E29" s="28" t="s">
        <v>334</v>
      </c>
      <c r="F29" s="28"/>
      <c r="G29" s="30"/>
      <c r="H29" s="31"/>
    </row>
    <row r="30" spans="2:8" ht="15.6" x14ac:dyDescent="0.3">
      <c r="B30" s="32" t="s">
        <v>252</v>
      </c>
      <c r="C30" s="33" t="s">
        <v>261</v>
      </c>
      <c r="D30" s="33" t="s">
        <v>288</v>
      </c>
      <c r="E30" s="33" t="s">
        <v>334</v>
      </c>
      <c r="F30" s="33"/>
      <c r="G30" s="34"/>
      <c r="H30" s="35"/>
    </row>
    <row r="31" spans="2:8" ht="15.6" x14ac:dyDescent="0.3">
      <c r="B31" s="32" t="s">
        <v>255</v>
      </c>
      <c r="C31" s="28" t="s">
        <v>231</v>
      </c>
      <c r="D31" s="28" t="s">
        <v>289</v>
      </c>
      <c r="E31" s="28" t="s">
        <v>334</v>
      </c>
      <c r="F31" s="28"/>
      <c r="G31" s="30"/>
      <c r="H31" s="31"/>
    </row>
    <row r="32" spans="2:8" ht="16.2" thickBot="1" x14ac:dyDescent="0.35">
      <c r="B32" s="36" t="s">
        <v>257</v>
      </c>
      <c r="C32" s="37" t="s">
        <v>220</v>
      </c>
      <c r="D32" s="37" t="s">
        <v>291</v>
      </c>
      <c r="E32" s="37" t="s">
        <v>334</v>
      </c>
      <c r="F32" s="37"/>
      <c r="G32" s="38"/>
      <c r="H32" s="39"/>
    </row>
    <row r="33" spans="2:8" ht="15.6" x14ac:dyDescent="0.3">
      <c r="B33" s="40" t="s">
        <v>292</v>
      </c>
      <c r="C33" s="28" t="s">
        <v>231</v>
      </c>
      <c r="D33" s="41" t="s">
        <v>294</v>
      </c>
      <c r="E33" s="41" t="s">
        <v>334</v>
      </c>
      <c r="F33" s="41"/>
      <c r="G33" s="42"/>
      <c r="H33" s="31"/>
    </row>
    <row r="34" spans="2:8" ht="15.6" x14ac:dyDescent="0.3">
      <c r="B34" s="32" t="s">
        <v>295</v>
      </c>
      <c r="C34" s="33" t="s">
        <v>231</v>
      </c>
      <c r="D34" s="33" t="s">
        <v>297</v>
      </c>
      <c r="E34" s="33" t="s">
        <v>334</v>
      </c>
      <c r="F34" s="33"/>
      <c r="G34" s="34"/>
      <c r="H34" s="35"/>
    </row>
    <row r="35" spans="2:8" ht="16.2" thickBot="1" x14ac:dyDescent="0.35">
      <c r="B35" s="36" t="s">
        <v>298</v>
      </c>
      <c r="C35" s="28" t="s">
        <v>231</v>
      </c>
      <c r="D35" s="45" t="s">
        <v>300</v>
      </c>
      <c r="E35" s="45" t="s">
        <v>334</v>
      </c>
      <c r="F35" s="45"/>
      <c r="G35" s="46"/>
      <c r="H35" s="47"/>
    </row>
    <row r="36" spans="2:8" ht="15.6" x14ac:dyDescent="0.3">
      <c r="B36" s="40" t="s">
        <v>214</v>
      </c>
      <c r="C36" s="33" t="s">
        <v>216</v>
      </c>
      <c r="D36" s="43" t="s">
        <v>301</v>
      </c>
      <c r="E36" s="43" t="s">
        <v>334</v>
      </c>
      <c r="F36" s="43"/>
      <c r="G36" s="44"/>
      <c r="H36" s="35"/>
    </row>
    <row r="37" spans="2:8" ht="15.6" x14ac:dyDescent="0.3">
      <c r="B37" s="32" t="s">
        <v>218</v>
      </c>
      <c r="C37" s="28" t="s">
        <v>220</v>
      </c>
      <c r="D37" s="28" t="s">
        <v>302</v>
      </c>
      <c r="E37" s="28" t="s">
        <v>334</v>
      </c>
      <c r="F37" s="28"/>
      <c r="G37" s="30"/>
      <c r="H37" s="31"/>
    </row>
    <row r="38" spans="2:8" ht="15.6" x14ac:dyDescent="0.3">
      <c r="B38" s="32" t="s">
        <v>222</v>
      </c>
      <c r="C38" s="33" t="s">
        <v>224</v>
      </c>
      <c r="D38" s="33" t="s">
        <v>303</v>
      </c>
      <c r="E38" s="33" t="s">
        <v>334</v>
      </c>
      <c r="F38" s="33"/>
      <c r="G38" s="34"/>
      <c r="H38" s="35"/>
    </row>
    <row r="39" spans="2:8" ht="15.6" x14ac:dyDescent="0.3">
      <c r="B39" s="32" t="s">
        <v>226</v>
      </c>
      <c r="C39" s="28" t="s">
        <v>216</v>
      </c>
      <c r="D39" s="28" t="s">
        <v>304</v>
      </c>
      <c r="E39" s="28" t="s">
        <v>334</v>
      </c>
      <c r="F39" s="28"/>
      <c r="G39" s="30"/>
      <c r="H39" s="31"/>
    </row>
    <row r="40" spans="2:8" ht="15.6" x14ac:dyDescent="0.3">
      <c r="B40" s="32" t="s">
        <v>229</v>
      </c>
      <c r="C40" s="33" t="s">
        <v>231</v>
      </c>
      <c r="D40" s="33" t="s">
        <v>305</v>
      </c>
      <c r="E40" s="33" t="s">
        <v>334</v>
      </c>
      <c r="F40" s="33"/>
      <c r="G40" s="34"/>
      <c r="H40" s="35"/>
    </row>
    <row r="41" spans="2:8" ht="15.6" x14ac:dyDescent="0.3">
      <c r="B41" s="32" t="s">
        <v>233</v>
      </c>
      <c r="C41" s="28" t="s">
        <v>235</v>
      </c>
      <c r="D41" s="28" t="s">
        <v>306</v>
      </c>
      <c r="E41" s="28" t="s">
        <v>334</v>
      </c>
      <c r="F41" s="28"/>
      <c r="G41" s="30"/>
      <c r="H41" s="31"/>
    </row>
    <row r="42" spans="2:8" ht="15.6" x14ac:dyDescent="0.3">
      <c r="B42" s="32" t="s">
        <v>237</v>
      </c>
      <c r="C42" s="33" t="s">
        <v>235</v>
      </c>
      <c r="D42" s="33" t="s">
        <v>307</v>
      </c>
      <c r="E42" s="33" t="s">
        <v>334</v>
      </c>
      <c r="F42" s="33"/>
      <c r="G42" s="34"/>
      <c r="H42" s="35"/>
    </row>
    <row r="43" spans="2:8" ht="15.6" x14ac:dyDescent="0.3">
      <c r="B43" s="32" t="s">
        <v>240</v>
      </c>
      <c r="C43" s="28" t="s">
        <v>220</v>
      </c>
      <c r="D43" s="28" t="s">
        <v>308</v>
      </c>
      <c r="E43" s="28" t="s">
        <v>334</v>
      </c>
      <c r="F43" s="28"/>
      <c r="G43" s="30"/>
      <c r="H43" s="31"/>
    </row>
    <row r="44" spans="2:8" ht="15.6" x14ac:dyDescent="0.3">
      <c r="B44" s="32" t="s">
        <v>243</v>
      </c>
      <c r="C44" s="33" t="s">
        <v>235</v>
      </c>
      <c r="D44" s="33" t="s">
        <v>309</v>
      </c>
      <c r="E44" s="33" t="s">
        <v>334</v>
      </c>
      <c r="F44" s="33"/>
      <c r="G44" s="34"/>
      <c r="H44" s="35"/>
    </row>
    <row r="45" spans="2:8" ht="15.6" x14ac:dyDescent="0.3">
      <c r="B45" s="32" t="s">
        <v>245</v>
      </c>
      <c r="C45" s="28" t="s">
        <v>216</v>
      </c>
      <c r="D45" s="28" t="s">
        <v>310</v>
      </c>
      <c r="E45" s="28" t="s">
        <v>334</v>
      </c>
      <c r="F45" s="28"/>
      <c r="G45" s="30"/>
      <c r="H45" s="31"/>
    </row>
    <row r="46" spans="2:8" ht="15.6" x14ac:dyDescent="0.3">
      <c r="B46" s="32" t="s">
        <v>248</v>
      </c>
      <c r="C46" s="33" t="s">
        <v>250</v>
      </c>
      <c r="D46" s="33" t="s">
        <v>311</v>
      </c>
      <c r="E46" s="33" t="s">
        <v>334</v>
      </c>
      <c r="F46" s="33"/>
      <c r="G46" s="34"/>
      <c r="H46" s="35"/>
    </row>
    <row r="47" spans="2:8" ht="15.6" x14ac:dyDescent="0.3">
      <c r="B47" s="32" t="s">
        <v>252</v>
      </c>
      <c r="C47" s="28" t="s">
        <v>216</v>
      </c>
      <c r="D47" s="28" t="s">
        <v>312</v>
      </c>
      <c r="E47" s="28" t="s">
        <v>334</v>
      </c>
      <c r="F47" s="28"/>
      <c r="G47" s="30"/>
      <c r="H47" s="31"/>
    </row>
    <row r="48" spans="2:8" ht="15.6" x14ac:dyDescent="0.3">
      <c r="B48" s="32" t="s">
        <v>255</v>
      </c>
      <c r="C48" s="33" t="s">
        <v>231</v>
      </c>
      <c r="D48" s="33" t="s">
        <v>313</v>
      </c>
      <c r="E48" s="33" t="s">
        <v>334</v>
      </c>
      <c r="F48" s="33"/>
      <c r="G48" s="34"/>
      <c r="H48" s="35"/>
    </row>
    <row r="49" spans="2:8" ht="16.2" thickBot="1" x14ac:dyDescent="0.35">
      <c r="B49" s="36" t="s">
        <v>257</v>
      </c>
      <c r="C49" s="45" t="s">
        <v>220</v>
      </c>
      <c r="D49" s="45" t="s">
        <v>314</v>
      </c>
      <c r="E49" s="45" t="s">
        <v>334</v>
      </c>
      <c r="F49" s="45"/>
      <c r="G49" s="46"/>
      <c r="H49" s="47"/>
    </row>
    <row r="50" spans="2:8" ht="15.6" x14ac:dyDescent="0.3">
      <c r="B50" s="40" t="s">
        <v>214</v>
      </c>
      <c r="C50" s="43" t="s">
        <v>261</v>
      </c>
      <c r="D50" s="43" t="s">
        <v>315</v>
      </c>
      <c r="E50" s="43" t="s">
        <v>334</v>
      </c>
      <c r="F50" s="43"/>
      <c r="G50" s="44"/>
      <c r="H50" s="35"/>
    </row>
    <row r="51" spans="2:8" ht="15.6" x14ac:dyDescent="0.3">
      <c r="B51" s="32" t="s">
        <v>263</v>
      </c>
      <c r="C51" s="28" t="s">
        <v>235</v>
      </c>
      <c r="D51" s="28" t="s">
        <v>316</v>
      </c>
      <c r="E51" s="28" t="s">
        <v>334</v>
      </c>
      <c r="F51" s="28"/>
      <c r="G51" s="30"/>
      <c r="H51" s="31"/>
    </row>
    <row r="52" spans="2:8" ht="15.6" x14ac:dyDescent="0.3">
      <c r="B52" s="32" t="s">
        <v>222</v>
      </c>
      <c r="C52" s="33" t="s">
        <v>224</v>
      </c>
      <c r="D52" s="33" t="s">
        <v>317</v>
      </c>
      <c r="E52" s="33" t="s">
        <v>334</v>
      </c>
      <c r="F52" s="33"/>
      <c r="G52" s="34"/>
      <c r="H52" s="35"/>
    </row>
    <row r="53" spans="2:8" ht="15.6" x14ac:dyDescent="0.3">
      <c r="B53" s="32" t="s">
        <v>267</v>
      </c>
      <c r="C53" s="28" t="s">
        <v>231</v>
      </c>
      <c r="D53" s="28" t="s">
        <v>318</v>
      </c>
      <c r="E53" s="28" t="s">
        <v>334</v>
      </c>
      <c r="F53" s="28"/>
      <c r="G53" s="30"/>
      <c r="H53" s="31"/>
    </row>
    <row r="54" spans="2:8" ht="15.6" x14ac:dyDescent="0.3">
      <c r="B54" s="32" t="s">
        <v>270</v>
      </c>
      <c r="C54" s="33" t="s">
        <v>231</v>
      </c>
      <c r="D54" s="33" t="s">
        <v>319</v>
      </c>
      <c r="E54" s="33" t="s">
        <v>334</v>
      </c>
      <c r="F54" s="33"/>
      <c r="G54" s="34"/>
      <c r="H54" s="35"/>
    </row>
    <row r="55" spans="2:8" ht="15.6" x14ac:dyDescent="0.3">
      <c r="B55" s="32" t="s">
        <v>226</v>
      </c>
      <c r="C55" s="28" t="s">
        <v>261</v>
      </c>
      <c r="D55" s="28" t="s">
        <v>320</v>
      </c>
      <c r="E55" s="28" t="s">
        <v>334</v>
      </c>
      <c r="F55" s="28"/>
      <c r="G55" s="30"/>
      <c r="H55" s="31"/>
    </row>
    <row r="56" spans="2:8" ht="15.6" x14ac:dyDescent="0.3">
      <c r="B56" s="32" t="s">
        <v>229</v>
      </c>
      <c r="C56" s="33" t="s">
        <v>231</v>
      </c>
      <c r="D56" s="33" t="s">
        <v>321</v>
      </c>
      <c r="E56" s="33" t="s">
        <v>334</v>
      </c>
      <c r="F56" s="33"/>
      <c r="G56" s="34"/>
      <c r="H56" s="35"/>
    </row>
    <row r="57" spans="2:8" ht="15.6" x14ac:dyDescent="0.3">
      <c r="B57" s="32" t="s">
        <v>233</v>
      </c>
      <c r="C57" s="28" t="s">
        <v>235</v>
      </c>
      <c r="D57" s="28" t="s">
        <v>322</v>
      </c>
      <c r="E57" s="28" t="s">
        <v>334</v>
      </c>
      <c r="F57" s="28"/>
      <c r="G57" s="30"/>
      <c r="H57" s="31"/>
    </row>
    <row r="58" spans="2:8" ht="15.6" x14ac:dyDescent="0.3">
      <c r="B58" s="32" t="s">
        <v>237</v>
      </c>
      <c r="C58" s="33" t="s">
        <v>235</v>
      </c>
      <c r="D58" s="33" t="s">
        <v>323</v>
      </c>
      <c r="E58" s="33" t="s">
        <v>334</v>
      </c>
      <c r="F58" s="33"/>
      <c r="G58" s="34"/>
      <c r="H58" s="35"/>
    </row>
    <row r="59" spans="2:8" ht="15.6" x14ac:dyDescent="0.3">
      <c r="B59" s="32" t="s">
        <v>240</v>
      </c>
      <c r="C59" s="28" t="s">
        <v>220</v>
      </c>
      <c r="D59" s="28" t="s">
        <v>324</v>
      </c>
      <c r="E59" s="28" t="s">
        <v>334</v>
      </c>
      <c r="F59" s="28"/>
      <c r="G59" s="30"/>
      <c r="H59" s="31"/>
    </row>
    <row r="60" spans="2:8" ht="15.6" x14ac:dyDescent="0.3">
      <c r="B60" s="32" t="s">
        <v>243</v>
      </c>
      <c r="C60" s="33" t="s">
        <v>231</v>
      </c>
      <c r="D60" s="33" t="s">
        <v>325</v>
      </c>
      <c r="E60" s="33" t="s">
        <v>334</v>
      </c>
      <c r="F60" s="33"/>
      <c r="G60" s="34"/>
      <c r="H60" s="35"/>
    </row>
    <row r="61" spans="2:8" ht="15.6" x14ac:dyDescent="0.3">
      <c r="B61" s="32" t="s">
        <v>245</v>
      </c>
      <c r="C61" s="28" t="s">
        <v>261</v>
      </c>
      <c r="D61" s="28" t="s">
        <v>326</v>
      </c>
      <c r="E61" s="28" t="s">
        <v>334</v>
      </c>
      <c r="F61" s="28"/>
      <c r="G61" s="30"/>
      <c r="H61" s="31"/>
    </row>
    <row r="62" spans="2:8" ht="15.6" x14ac:dyDescent="0.3">
      <c r="B62" s="32" t="s">
        <v>248</v>
      </c>
      <c r="C62" s="33" t="s">
        <v>335</v>
      </c>
      <c r="D62" s="33" t="s">
        <v>327</v>
      </c>
      <c r="E62" s="33" t="s">
        <v>334</v>
      </c>
      <c r="F62" s="33"/>
      <c r="G62" s="34"/>
      <c r="H62" s="35"/>
    </row>
    <row r="63" spans="2:8" ht="15.6" x14ac:dyDescent="0.3">
      <c r="B63" s="32" t="s">
        <v>252</v>
      </c>
      <c r="C63" s="28" t="s">
        <v>261</v>
      </c>
      <c r="D63" s="28" t="s">
        <v>328</v>
      </c>
      <c r="E63" s="28" t="s">
        <v>334</v>
      </c>
      <c r="F63" s="28"/>
      <c r="G63" s="30"/>
      <c r="H63" s="31"/>
    </row>
    <row r="64" spans="2:8" ht="15.6" x14ac:dyDescent="0.3">
      <c r="B64" s="32" t="s">
        <v>255</v>
      </c>
      <c r="C64" s="33" t="s">
        <v>231</v>
      </c>
      <c r="D64" s="33" t="s">
        <v>329</v>
      </c>
      <c r="E64" s="33" t="s">
        <v>334</v>
      </c>
      <c r="F64" s="33"/>
      <c r="G64" s="34"/>
      <c r="H64" s="35"/>
    </row>
    <row r="65" spans="2:8" ht="15.6" x14ac:dyDescent="0.3">
      <c r="B65" s="48" t="s">
        <v>257</v>
      </c>
      <c r="C65" s="49" t="s">
        <v>220</v>
      </c>
      <c r="D65" s="49" t="s">
        <v>330</v>
      </c>
      <c r="E65" s="49" t="s">
        <v>334</v>
      </c>
      <c r="F65" s="49"/>
      <c r="G65" s="50"/>
      <c r="H65" s="51"/>
    </row>
    <row r="66" spans="2:8" x14ac:dyDescent="0.3">
      <c r="F66" t="e">
        <f>AVERAGE(F3:F65)</f>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84E6-93F6-44BA-A025-ED8D6AE6E45F}">
  <dimension ref="B2:H66"/>
  <sheetViews>
    <sheetView zoomScale="85" zoomScaleNormal="85" workbookViewId="0">
      <selection activeCell="H37" sqref="H37"/>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0</v>
      </c>
      <c r="G3" s="76" t="s">
        <v>336</v>
      </c>
      <c r="H3" s="77" t="s">
        <v>337</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5">
        <v>4</v>
      </c>
      <c r="G6" s="76" t="s">
        <v>338</v>
      </c>
      <c r="H6" s="77" t="s">
        <v>339</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5">
        <v>0</v>
      </c>
      <c r="G17" s="76" t="s">
        <v>336</v>
      </c>
      <c r="H17" s="77" t="s">
        <v>337</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4</v>
      </c>
      <c r="G22" s="76" t="s">
        <v>338</v>
      </c>
      <c r="H22" s="77" t="s">
        <v>339</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84">
        <v>4</v>
      </c>
      <c r="G31" s="85" t="s">
        <v>341</v>
      </c>
      <c r="H31" s="86"/>
    </row>
    <row r="32" spans="2:8" ht="16.2" thickBot="1" x14ac:dyDescent="0.35">
      <c r="B32" s="36" t="s">
        <v>257</v>
      </c>
      <c r="C32" s="37" t="s">
        <v>220</v>
      </c>
      <c r="D32" s="37" t="s">
        <v>291</v>
      </c>
      <c r="E32" s="37" t="s">
        <v>334</v>
      </c>
      <c r="F32" s="87">
        <v>4</v>
      </c>
      <c r="G32" s="88" t="s">
        <v>341</v>
      </c>
      <c r="H32" s="8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4</v>
      </c>
      <c r="G36" s="81" t="s">
        <v>338</v>
      </c>
      <c r="H36" s="74" t="s">
        <v>342</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76" t="s">
        <v>338</v>
      </c>
      <c r="H39" s="77" t="s">
        <v>343</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4</v>
      </c>
      <c r="G41" s="30"/>
      <c r="H41" s="35" t="s">
        <v>344</v>
      </c>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4</v>
      </c>
      <c r="G48" s="34"/>
      <c r="H48" s="35" t="s">
        <v>344</v>
      </c>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4</v>
      </c>
      <c r="G50" s="81" t="s">
        <v>338</v>
      </c>
      <c r="H50" s="74" t="s">
        <v>345</v>
      </c>
    </row>
    <row r="51" spans="2:8" ht="15.6" x14ac:dyDescent="0.3">
      <c r="B51" s="32" t="s">
        <v>263</v>
      </c>
      <c r="C51" s="28" t="s">
        <v>235</v>
      </c>
      <c r="D51" s="28" t="s">
        <v>316</v>
      </c>
      <c r="E51" s="28" t="s">
        <v>334</v>
      </c>
      <c r="F51" s="28">
        <v>3</v>
      </c>
      <c r="G51" s="30" t="s">
        <v>338</v>
      </c>
      <c r="H51" s="31" t="s">
        <v>346</v>
      </c>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4</v>
      </c>
      <c r="G54" s="34" t="s">
        <v>338</v>
      </c>
      <c r="H54" s="35" t="s">
        <v>347</v>
      </c>
    </row>
    <row r="55" spans="2:8" ht="15.6" x14ac:dyDescent="0.3">
      <c r="B55" s="32" t="s">
        <v>226</v>
      </c>
      <c r="C55" s="28" t="s">
        <v>261</v>
      </c>
      <c r="D55" s="28" t="s">
        <v>320</v>
      </c>
      <c r="E55" s="28" t="s">
        <v>334</v>
      </c>
      <c r="F55" s="75">
        <v>4</v>
      </c>
      <c r="G55" s="76" t="s">
        <v>338</v>
      </c>
      <c r="H55" s="77" t="s">
        <v>348</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3</v>
      </c>
      <c r="G57" s="30" t="s">
        <v>341</v>
      </c>
      <c r="H57" s="31" t="s">
        <v>349</v>
      </c>
    </row>
    <row r="58" spans="2:8" ht="15.6" x14ac:dyDescent="0.3">
      <c r="B58" s="32" t="s">
        <v>237</v>
      </c>
      <c r="C58" s="33" t="s">
        <v>235</v>
      </c>
      <c r="D58" s="33" t="s">
        <v>323</v>
      </c>
      <c r="E58" s="33" t="s">
        <v>334</v>
      </c>
      <c r="F58" s="33">
        <v>4</v>
      </c>
      <c r="G58" s="34" t="s">
        <v>338</v>
      </c>
      <c r="H58" s="35" t="s">
        <v>350</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4</v>
      </c>
      <c r="G60" s="34" t="s">
        <v>341</v>
      </c>
      <c r="H60" s="35" t="s">
        <v>351</v>
      </c>
    </row>
    <row r="61" spans="2:8" ht="15.6" x14ac:dyDescent="0.3">
      <c r="B61" s="32" t="s">
        <v>245</v>
      </c>
      <c r="C61" s="28" t="s">
        <v>261</v>
      </c>
      <c r="D61" s="28" t="s">
        <v>326</v>
      </c>
      <c r="E61" s="28" t="s">
        <v>334</v>
      </c>
      <c r="F61" s="28">
        <v>3</v>
      </c>
      <c r="G61" s="30" t="s">
        <v>341</v>
      </c>
      <c r="H61" s="31" t="s">
        <v>352</v>
      </c>
    </row>
    <row r="62" spans="2:8" ht="15.6" x14ac:dyDescent="0.3">
      <c r="B62" s="32" t="s">
        <v>248</v>
      </c>
      <c r="C62" s="33" t="s">
        <v>335</v>
      </c>
      <c r="D62" s="33" t="s">
        <v>327</v>
      </c>
      <c r="E62" s="33" t="s">
        <v>334</v>
      </c>
      <c r="F62" s="33">
        <v>4</v>
      </c>
      <c r="G62" s="34" t="s">
        <v>353</v>
      </c>
      <c r="H62" s="35" t="s">
        <v>354</v>
      </c>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90">
        <v>3</v>
      </c>
      <c r="G64" s="91" t="s">
        <v>341</v>
      </c>
      <c r="H64" s="96" t="s">
        <v>355</v>
      </c>
    </row>
    <row r="65" spans="2:8" ht="15.6" x14ac:dyDescent="0.3">
      <c r="B65" s="48" t="s">
        <v>257</v>
      </c>
      <c r="C65" s="49" t="s">
        <v>220</v>
      </c>
      <c r="D65" s="49" t="s">
        <v>330</v>
      </c>
      <c r="E65" s="49" t="s">
        <v>334</v>
      </c>
      <c r="F65" s="49">
        <v>4</v>
      </c>
      <c r="G65" s="50" t="s">
        <v>338</v>
      </c>
      <c r="H65" s="35" t="s">
        <v>356</v>
      </c>
    </row>
    <row r="66" spans="2:8" x14ac:dyDescent="0.3">
      <c r="F66">
        <f>AVERAGE(F3:F65)</f>
        <v>4.4761904761904763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F8699-1D3B-4B95-9BFA-8B4122074E49}">
  <dimension ref="B2:H66"/>
  <sheetViews>
    <sheetView workbookViewId="0">
      <selection activeCell="F39" sqref="F3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0</v>
      </c>
      <c r="G3" s="77" t="s">
        <v>336</v>
      </c>
      <c r="H3" s="77" t="s">
        <v>337</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4</v>
      </c>
      <c r="G6" s="73" t="s">
        <v>338</v>
      </c>
      <c r="H6" s="74" t="s">
        <v>357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5">
        <v>0</v>
      </c>
      <c r="G17" s="77" t="s">
        <v>336</v>
      </c>
      <c r="H17" s="77" t="s">
        <v>337</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2">
        <v>4</v>
      </c>
      <c r="G22" s="73" t="s">
        <v>338</v>
      </c>
      <c r="H22" s="74" t="s">
        <v>357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4</v>
      </c>
      <c r="G24" s="34" t="s">
        <v>358</v>
      </c>
      <c r="H24" s="35"/>
    </row>
    <row r="25" spans="2:8" ht="15.6" x14ac:dyDescent="0.3">
      <c r="B25" s="32" t="s">
        <v>237</v>
      </c>
      <c r="C25" s="28" t="s">
        <v>235</v>
      </c>
      <c r="D25" s="28" t="s">
        <v>279</v>
      </c>
      <c r="E25" s="28" t="s">
        <v>334</v>
      </c>
      <c r="F25" s="28">
        <v>3</v>
      </c>
      <c r="G25" s="30" t="s">
        <v>359</v>
      </c>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4</v>
      </c>
      <c r="G31" s="30" t="s">
        <v>358</v>
      </c>
      <c r="H31" s="31"/>
    </row>
    <row r="32" spans="2:8" ht="16.2" thickBot="1" x14ac:dyDescent="0.35">
      <c r="B32" s="36" t="s">
        <v>257</v>
      </c>
      <c r="C32" s="37" t="s">
        <v>220</v>
      </c>
      <c r="D32" s="37" t="s">
        <v>291</v>
      </c>
      <c r="E32" s="37" t="s">
        <v>334</v>
      </c>
      <c r="F32" s="37">
        <v>3</v>
      </c>
      <c r="G32" s="38" t="s">
        <v>341</v>
      </c>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4</v>
      </c>
      <c r="G36" s="82"/>
      <c r="H36" s="77" t="s">
        <v>360</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81" t="s">
        <v>338</v>
      </c>
      <c r="H39" s="82" t="s">
        <v>361</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4</v>
      </c>
      <c r="G50" s="82"/>
      <c r="H50" s="77" t="s">
        <v>360</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4</v>
      </c>
      <c r="G55" s="81"/>
      <c r="H55" s="82" t="s">
        <v>361</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4</v>
      </c>
      <c r="G61" s="30" t="s">
        <v>341</v>
      </c>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4</v>
      </c>
      <c r="G63" s="30" t="s">
        <v>358</v>
      </c>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4.3015873015873014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72CD-C387-41ED-B1FB-086DC47ED9B2}">
  <dimension ref="B1:H66"/>
  <sheetViews>
    <sheetView workbookViewId="0">
      <selection activeCell="G20" sqref="G2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1" spans="2:8" x14ac:dyDescent="0.3">
      <c r="H1" t="s">
        <v>362</v>
      </c>
    </row>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3</v>
      </c>
      <c r="G14" s="34" t="s">
        <v>363</v>
      </c>
      <c r="H14" s="35" t="s">
        <v>364</v>
      </c>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3</v>
      </c>
      <c r="G25" s="30" t="s">
        <v>338</v>
      </c>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3</v>
      </c>
      <c r="G29" s="30" t="s">
        <v>341</v>
      </c>
      <c r="H29" s="31"/>
    </row>
    <row r="30" spans="2:8" ht="15.6" x14ac:dyDescent="0.3">
      <c r="B30" s="32" t="s">
        <v>252</v>
      </c>
      <c r="C30" s="33" t="s">
        <v>261</v>
      </c>
      <c r="D30" s="33" t="s">
        <v>288</v>
      </c>
      <c r="E30" s="33" t="s">
        <v>334</v>
      </c>
      <c r="F30" s="33">
        <v>3</v>
      </c>
      <c r="G30" s="34" t="s">
        <v>363</v>
      </c>
      <c r="H30" s="35" t="s">
        <v>364</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99">
        <v>2</v>
      </c>
      <c r="G49" s="100" t="s">
        <v>353</v>
      </c>
      <c r="H49" s="101" t="s">
        <v>365</v>
      </c>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3</v>
      </c>
      <c r="G53" s="30" t="s">
        <v>363</v>
      </c>
      <c r="H53" s="31" t="s">
        <v>366</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4</v>
      </c>
      <c r="G57" s="30" t="s">
        <v>341</v>
      </c>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102">
        <v>2</v>
      </c>
      <c r="G65" s="103" t="s">
        <v>353</v>
      </c>
      <c r="H65" s="104" t="s">
        <v>365</v>
      </c>
    </row>
    <row r="66" spans="2:8" x14ac:dyDescent="0.3">
      <c r="F66">
        <f>AVERAGE(F3:F65)</f>
        <v>4.7301587301587302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0B91-C720-4CD7-A697-5D703A1AC5D7}">
  <dimension ref="B1:H66"/>
  <sheetViews>
    <sheetView topLeftCell="A12" workbookViewId="0">
      <selection activeCell="B13" sqref="B1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1" spans="2:8" x14ac:dyDescent="0.3">
      <c r="H1" t="s">
        <v>362</v>
      </c>
    </row>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3</v>
      </c>
      <c r="G14" s="34" t="s">
        <v>363</v>
      </c>
      <c r="H14" s="35" t="s">
        <v>367</v>
      </c>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4</v>
      </c>
      <c r="G26" s="34" t="s">
        <v>363</v>
      </c>
      <c r="H26" s="35" t="s">
        <v>368</v>
      </c>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4</v>
      </c>
      <c r="G28" s="34" t="s">
        <v>358</v>
      </c>
      <c r="H28" s="35" t="s">
        <v>367</v>
      </c>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3</v>
      </c>
      <c r="G30" s="34" t="s">
        <v>363</v>
      </c>
      <c r="H30" s="35" t="s">
        <v>367</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3</v>
      </c>
      <c r="G53" s="30" t="s">
        <v>363</v>
      </c>
      <c r="H53" s="31" t="s">
        <v>367</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3</v>
      </c>
      <c r="G58" s="34" t="s">
        <v>363</v>
      </c>
      <c r="H58" s="35" t="s">
        <v>369</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3</v>
      </c>
      <c r="G62" s="34" t="s">
        <v>341</v>
      </c>
      <c r="H62" s="35" t="s">
        <v>370</v>
      </c>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4.4920634920634921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C5CC-6D7C-4050-B6DC-59EBF00B567B}">
  <dimension ref="B2:H66"/>
  <sheetViews>
    <sheetView topLeftCell="A3" workbookViewId="0">
      <selection activeCell="F9" sqref="F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4</v>
      </c>
      <c r="G3" s="82"/>
      <c r="H3" s="76" t="s">
        <v>371</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0</v>
      </c>
      <c r="G6" s="73" t="s">
        <v>372</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8">
        <v>4</v>
      </c>
      <c r="G17" s="79"/>
      <c r="H17" s="77" t="s">
        <v>371</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0</v>
      </c>
      <c r="G22" s="81" t="s">
        <v>372</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4</v>
      </c>
      <c r="G25" s="30" t="s">
        <v>338</v>
      </c>
      <c r="H25" s="31" t="s">
        <v>373</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95">
        <v>5</v>
      </c>
      <c r="G27" s="30"/>
      <c r="H27" s="31"/>
    </row>
    <row r="28" spans="2:8" ht="15.6" x14ac:dyDescent="0.3">
      <c r="B28" s="32" t="s">
        <v>245</v>
      </c>
      <c r="C28" s="33" t="s">
        <v>261</v>
      </c>
      <c r="D28" s="33" t="s">
        <v>284</v>
      </c>
      <c r="E28" s="33" t="s">
        <v>334</v>
      </c>
      <c r="F28">
        <v>3</v>
      </c>
      <c r="G28" s="34" t="s">
        <v>374</v>
      </c>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93">
        <v>4</v>
      </c>
      <c r="G36" s="94"/>
      <c r="H36" s="92"/>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84">
        <v>4</v>
      </c>
      <c r="G39" s="85"/>
      <c r="H39" s="86"/>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93">
        <v>4</v>
      </c>
      <c r="G50" s="94"/>
      <c r="H50" s="92"/>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84">
        <v>4</v>
      </c>
      <c r="G55" s="85"/>
      <c r="H55" s="86"/>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4</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4</v>
      </c>
      <c r="G61" s="30" t="s">
        <v>375</v>
      </c>
      <c r="H61" s="31" t="s">
        <v>376</v>
      </c>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3</v>
      </c>
      <c r="G63" s="30" t="s">
        <v>377</v>
      </c>
      <c r="H63" s="31" t="s">
        <v>378</v>
      </c>
    </row>
    <row r="64" spans="2:8" ht="15.6" x14ac:dyDescent="0.3">
      <c r="B64" s="32" t="s">
        <v>255</v>
      </c>
      <c r="C64" s="33" t="s">
        <v>231</v>
      </c>
      <c r="D64" s="33" t="s">
        <v>329</v>
      </c>
      <c r="E64" s="33" t="s">
        <v>334</v>
      </c>
      <c r="F64" s="33">
        <v>3</v>
      </c>
      <c r="G64" s="34" t="s">
        <v>358</v>
      </c>
      <c r="H64" s="35" t="s">
        <v>379</v>
      </c>
    </row>
    <row r="65" spans="2:8" ht="15.6" x14ac:dyDescent="0.3">
      <c r="B65" s="48" t="s">
        <v>257</v>
      </c>
      <c r="C65" s="49" t="s">
        <v>220</v>
      </c>
      <c r="D65" s="49" t="s">
        <v>330</v>
      </c>
      <c r="E65" s="49" t="s">
        <v>334</v>
      </c>
      <c r="F65" s="49">
        <v>5</v>
      </c>
      <c r="G65" s="50"/>
      <c r="H65" s="51"/>
    </row>
    <row r="66" spans="2:8" x14ac:dyDescent="0.3">
      <c r="F66">
        <f>AVERAGE(F3:F65)</f>
        <v>4.6031746031746028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7C86-1B7A-46DD-87D6-154D3FA510DC}">
  <dimension ref="B2:H66"/>
  <sheetViews>
    <sheetView topLeftCell="A32" workbookViewId="0">
      <selection activeCell="F44" sqref="F44"/>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5</v>
      </c>
      <c r="G3" s="76"/>
      <c r="H3" s="77"/>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0</v>
      </c>
      <c r="G6" s="73" t="s">
        <v>336</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2</v>
      </c>
      <c r="G9" s="76" t="s">
        <v>338</v>
      </c>
      <c r="H9" s="74" t="s">
        <v>380</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8">
        <v>5</v>
      </c>
      <c r="G17" s="79"/>
      <c r="H17" s="77"/>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0</v>
      </c>
      <c r="G22" s="81" t="s">
        <v>336</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72">
        <v>2</v>
      </c>
      <c r="G40" s="73" t="s">
        <v>381</v>
      </c>
      <c r="H40" s="74" t="s">
        <v>380</v>
      </c>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72">
        <v>3</v>
      </c>
      <c r="G52" s="73" t="s">
        <v>341</v>
      </c>
      <c r="H52" s="74"/>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4.3968253968253972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06F8-C474-4E55-B2FD-3373F8F58D5E}">
  <dimension ref="B2:I66"/>
  <sheetViews>
    <sheetView topLeftCell="A38" workbookViewId="0">
      <selection activeCell="F60" sqref="F6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9" ht="15.6" x14ac:dyDescent="0.3">
      <c r="B17" s="40" t="s">
        <v>214</v>
      </c>
      <c r="C17" s="41" t="s">
        <v>261</v>
      </c>
      <c r="D17" s="41" t="s">
        <v>262</v>
      </c>
      <c r="E17" s="41" t="s">
        <v>334</v>
      </c>
      <c r="F17" s="41">
        <v>5</v>
      </c>
      <c r="G17" s="42"/>
      <c r="H17" s="31"/>
    </row>
    <row r="18" spans="2:9" ht="15.6" x14ac:dyDescent="0.3">
      <c r="B18" s="32" t="s">
        <v>263</v>
      </c>
      <c r="C18" s="33" t="s">
        <v>235</v>
      </c>
      <c r="D18" s="33" t="s">
        <v>265</v>
      </c>
      <c r="E18" s="33" t="s">
        <v>334</v>
      </c>
      <c r="F18" s="33">
        <v>5</v>
      </c>
      <c r="G18" s="34"/>
      <c r="H18" s="35"/>
    </row>
    <row r="19" spans="2:9" ht="15.6" x14ac:dyDescent="0.3">
      <c r="B19" s="32" t="s">
        <v>222</v>
      </c>
      <c r="C19" s="28" t="s">
        <v>224</v>
      </c>
      <c r="D19" s="28" t="s">
        <v>266</v>
      </c>
      <c r="E19" s="28" t="s">
        <v>334</v>
      </c>
      <c r="F19" s="28">
        <v>5</v>
      </c>
      <c r="G19" s="30"/>
      <c r="H19" s="31"/>
    </row>
    <row r="20" spans="2:9" ht="15.6" x14ac:dyDescent="0.3">
      <c r="B20" s="32" t="s">
        <v>267</v>
      </c>
      <c r="C20" s="33" t="s">
        <v>231</v>
      </c>
      <c r="D20" s="33" t="s">
        <v>269</v>
      </c>
      <c r="E20" s="33" t="s">
        <v>334</v>
      </c>
      <c r="F20" s="33">
        <v>5</v>
      </c>
      <c r="G20" s="34"/>
      <c r="H20" s="35"/>
    </row>
    <row r="21" spans="2:9" ht="15.6" x14ac:dyDescent="0.3">
      <c r="B21" s="32" t="s">
        <v>270</v>
      </c>
      <c r="C21" s="28" t="s">
        <v>231</v>
      </c>
      <c r="D21" s="28" t="s">
        <v>272</v>
      </c>
      <c r="E21" s="28" t="s">
        <v>334</v>
      </c>
      <c r="F21" s="28">
        <v>5</v>
      </c>
      <c r="G21" s="30"/>
      <c r="H21" s="31"/>
    </row>
    <row r="22" spans="2:9" ht="15.6" x14ac:dyDescent="0.3">
      <c r="B22" s="32" t="s">
        <v>226</v>
      </c>
      <c r="C22" s="33" t="s">
        <v>261</v>
      </c>
      <c r="D22" s="33" t="s">
        <v>274</v>
      </c>
      <c r="E22" s="33" t="s">
        <v>334</v>
      </c>
      <c r="F22" s="43">
        <v>5</v>
      </c>
      <c r="G22" s="44"/>
      <c r="H22" s="35"/>
    </row>
    <row r="23" spans="2:9" ht="15.6" x14ac:dyDescent="0.3">
      <c r="B23" s="32" t="s">
        <v>229</v>
      </c>
      <c r="C23" s="28" t="s">
        <v>231</v>
      </c>
      <c r="D23" s="28" t="s">
        <v>275</v>
      </c>
      <c r="E23" s="28" t="s">
        <v>334</v>
      </c>
      <c r="F23" s="28">
        <v>5</v>
      </c>
      <c r="G23" s="30"/>
      <c r="H23" s="31"/>
    </row>
    <row r="24" spans="2:9" ht="15.6" x14ac:dyDescent="0.3">
      <c r="B24" s="32" t="s">
        <v>233</v>
      </c>
      <c r="C24" s="33" t="s">
        <v>235</v>
      </c>
      <c r="D24" s="33" t="s">
        <v>277</v>
      </c>
      <c r="E24" s="33" t="s">
        <v>334</v>
      </c>
      <c r="F24" s="33">
        <v>4</v>
      </c>
      <c r="G24" s="34" t="s">
        <v>382</v>
      </c>
      <c r="H24" s="35"/>
    </row>
    <row r="25" spans="2:9" ht="15.6" x14ac:dyDescent="0.3">
      <c r="B25" s="32" t="s">
        <v>237</v>
      </c>
      <c r="C25" s="28" t="s">
        <v>235</v>
      </c>
      <c r="D25" s="28" t="s">
        <v>279</v>
      </c>
      <c r="E25" s="28" t="s">
        <v>334</v>
      </c>
      <c r="F25" s="28">
        <v>5</v>
      </c>
      <c r="G25" s="30"/>
      <c r="H25" s="31"/>
    </row>
    <row r="26" spans="2:9" ht="15.6" x14ac:dyDescent="0.3">
      <c r="B26" s="32" t="s">
        <v>240</v>
      </c>
      <c r="C26" s="33" t="s">
        <v>220</v>
      </c>
      <c r="D26" s="33" t="s">
        <v>281</v>
      </c>
      <c r="E26" s="33" t="s">
        <v>334</v>
      </c>
      <c r="F26" s="33">
        <v>5</v>
      </c>
      <c r="G26" s="34"/>
      <c r="H26" s="35"/>
    </row>
    <row r="27" spans="2:9" ht="15.6" x14ac:dyDescent="0.3">
      <c r="B27" s="32" t="s">
        <v>243</v>
      </c>
      <c r="C27" s="28" t="s">
        <v>235</v>
      </c>
      <c r="D27" s="28" t="s">
        <v>283</v>
      </c>
      <c r="E27" s="28" t="s">
        <v>334</v>
      </c>
      <c r="F27" s="75">
        <v>1</v>
      </c>
      <c r="G27" s="76" t="s">
        <v>383</v>
      </c>
      <c r="H27" s="77" t="s">
        <v>384</v>
      </c>
      <c r="I27" t="s">
        <v>385</v>
      </c>
    </row>
    <row r="28" spans="2:9" ht="15.6" x14ac:dyDescent="0.3">
      <c r="B28" s="32" t="s">
        <v>245</v>
      </c>
      <c r="C28" s="33" t="s">
        <v>261</v>
      </c>
      <c r="D28" s="33" t="s">
        <v>284</v>
      </c>
      <c r="E28" s="33" t="s">
        <v>334</v>
      </c>
      <c r="F28" s="33">
        <v>5</v>
      </c>
      <c r="G28" s="34"/>
      <c r="H28" s="35"/>
    </row>
    <row r="29" spans="2:9" ht="15.6" x14ac:dyDescent="0.3">
      <c r="B29" s="32" t="s">
        <v>248</v>
      </c>
      <c r="C29" s="28" t="s">
        <v>335</v>
      </c>
      <c r="D29" s="28" t="s">
        <v>287</v>
      </c>
      <c r="E29" s="28" t="s">
        <v>334</v>
      </c>
      <c r="F29" s="28">
        <v>5</v>
      </c>
      <c r="G29" s="30"/>
      <c r="H29" s="31"/>
    </row>
    <row r="30" spans="2:9" ht="15.6" x14ac:dyDescent="0.3">
      <c r="B30" s="32" t="s">
        <v>252</v>
      </c>
      <c r="C30" s="33" t="s">
        <v>261</v>
      </c>
      <c r="D30" s="33" t="s">
        <v>288</v>
      </c>
      <c r="E30" s="33" t="s">
        <v>334</v>
      </c>
      <c r="F30" s="33">
        <v>5</v>
      </c>
      <c r="G30" s="34"/>
      <c r="H30" s="35"/>
    </row>
    <row r="31" spans="2:9" ht="15.6" x14ac:dyDescent="0.3">
      <c r="B31" s="32" t="s">
        <v>255</v>
      </c>
      <c r="C31" s="28" t="s">
        <v>231</v>
      </c>
      <c r="D31" s="28" t="s">
        <v>289</v>
      </c>
      <c r="E31" s="28" t="s">
        <v>334</v>
      </c>
      <c r="F31" s="28">
        <v>4</v>
      </c>
      <c r="G31" s="30" t="s">
        <v>382</v>
      </c>
      <c r="H31" s="31"/>
    </row>
    <row r="32" spans="2:9"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3</v>
      </c>
      <c r="G40" s="34" t="s">
        <v>381</v>
      </c>
      <c r="H40" s="35"/>
    </row>
    <row r="41" spans="2:8" ht="15.6" x14ac:dyDescent="0.3">
      <c r="B41" s="32" t="s">
        <v>233</v>
      </c>
      <c r="C41" s="28" t="s">
        <v>235</v>
      </c>
      <c r="D41" s="28" t="s">
        <v>306</v>
      </c>
      <c r="E41" s="28" t="s">
        <v>334</v>
      </c>
      <c r="F41" s="28">
        <v>4</v>
      </c>
      <c r="G41" s="30" t="s">
        <v>382</v>
      </c>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4</v>
      </c>
      <c r="G47" s="30"/>
      <c r="H47" s="31"/>
    </row>
    <row r="48" spans="2:8" ht="15.6" x14ac:dyDescent="0.3">
      <c r="B48" s="32" t="s">
        <v>255</v>
      </c>
      <c r="C48" s="33" t="s">
        <v>231</v>
      </c>
      <c r="D48" s="33" t="s">
        <v>313</v>
      </c>
      <c r="E48" s="33" t="s">
        <v>334</v>
      </c>
      <c r="F48" s="33">
        <v>5</v>
      </c>
      <c r="G48" s="34"/>
      <c r="H48" s="35"/>
    </row>
    <row r="49" spans="2:9" ht="16.2" thickBot="1" x14ac:dyDescent="0.35">
      <c r="B49" s="36" t="s">
        <v>257</v>
      </c>
      <c r="C49" s="45" t="s">
        <v>220</v>
      </c>
      <c r="D49" s="45" t="s">
        <v>314</v>
      </c>
      <c r="E49" s="45" t="s">
        <v>334</v>
      </c>
      <c r="F49" s="45">
        <v>5</v>
      </c>
      <c r="G49" s="46"/>
      <c r="H49" s="47"/>
    </row>
    <row r="50" spans="2:9" ht="15.6" x14ac:dyDescent="0.3">
      <c r="B50" s="40" t="s">
        <v>214</v>
      </c>
      <c r="C50" s="43" t="s">
        <v>261</v>
      </c>
      <c r="D50" s="43" t="s">
        <v>315</v>
      </c>
      <c r="E50" s="43" t="s">
        <v>334</v>
      </c>
      <c r="F50" s="43">
        <v>5</v>
      </c>
      <c r="G50" s="44"/>
      <c r="H50" s="35"/>
    </row>
    <row r="51" spans="2:9" ht="15.6" x14ac:dyDescent="0.3">
      <c r="B51" s="32" t="s">
        <v>263</v>
      </c>
      <c r="C51" s="28" t="s">
        <v>235</v>
      </c>
      <c r="D51" s="28" t="s">
        <v>316</v>
      </c>
      <c r="E51" s="28" t="s">
        <v>334</v>
      </c>
      <c r="F51" s="28">
        <v>5</v>
      </c>
      <c r="G51" s="30"/>
      <c r="H51" s="31"/>
    </row>
    <row r="52" spans="2:9" ht="15.6" x14ac:dyDescent="0.3">
      <c r="B52" s="32" t="s">
        <v>222</v>
      </c>
      <c r="C52" s="33" t="s">
        <v>224</v>
      </c>
      <c r="D52" s="33" t="s">
        <v>317</v>
      </c>
      <c r="E52" s="33" t="s">
        <v>334</v>
      </c>
      <c r="F52" s="33">
        <v>5</v>
      </c>
      <c r="G52" s="34"/>
      <c r="H52" s="35"/>
    </row>
    <row r="53" spans="2:9" ht="15.6" x14ac:dyDescent="0.3">
      <c r="B53" s="32" t="s">
        <v>267</v>
      </c>
      <c r="C53" s="28" t="s">
        <v>231</v>
      </c>
      <c r="D53" s="28" t="s">
        <v>318</v>
      </c>
      <c r="E53" s="28" t="s">
        <v>334</v>
      </c>
      <c r="F53" s="28">
        <v>5</v>
      </c>
      <c r="G53" s="30"/>
      <c r="H53" s="31"/>
    </row>
    <row r="54" spans="2:9" ht="15.6" x14ac:dyDescent="0.3">
      <c r="B54" s="32" t="s">
        <v>270</v>
      </c>
      <c r="C54" s="33" t="s">
        <v>231</v>
      </c>
      <c r="D54" s="33" t="s">
        <v>319</v>
      </c>
      <c r="E54" s="33" t="s">
        <v>334</v>
      </c>
      <c r="F54" s="33">
        <v>5</v>
      </c>
      <c r="G54" s="34"/>
      <c r="H54" s="35"/>
    </row>
    <row r="55" spans="2:9" ht="15.6" x14ac:dyDescent="0.3">
      <c r="B55" s="32" t="s">
        <v>226</v>
      </c>
      <c r="C55" s="28" t="s">
        <v>261</v>
      </c>
      <c r="D55" s="28" t="s">
        <v>320</v>
      </c>
      <c r="E55" s="28" t="s">
        <v>334</v>
      </c>
      <c r="F55" s="28">
        <v>5</v>
      </c>
      <c r="G55" s="30"/>
      <c r="H55" s="31"/>
    </row>
    <row r="56" spans="2:9" ht="15.6" x14ac:dyDescent="0.3">
      <c r="B56" s="32" t="s">
        <v>229</v>
      </c>
      <c r="C56" s="33" t="s">
        <v>231</v>
      </c>
      <c r="D56" s="33" t="s">
        <v>321</v>
      </c>
      <c r="E56" s="33" t="s">
        <v>334</v>
      </c>
      <c r="F56" s="33">
        <v>3</v>
      </c>
      <c r="G56" s="34" t="s">
        <v>381</v>
      </c>
      <c r="H56" s="35"/>
    </row>
    <row r="57" spans="2:9" ht="15.6" x14ac:dyDescent="0.3">
      <c r="B57" s="32" t="s">
        <v>233</v>
      </c>
      <c r="C57" s="28" t="s">
        <v>235</v>
      </c>
      <c r="D57" s="28" t="s">
        <v>322</v>
      </c>
      <c r="E57" s="28" t="s">
        <v>334</v>
      </c>
      <c r="F57" s="28">
        <v>4</v>
      </c>
      <c r="G57" s="30" t="s">
        <v>363</v>
      </c>
      <c r="H57" s="31"/>
    </row>
    <row r="58" spans="2:9" ht="15.6" x14ac:dyDescent="0.3">
      <c r="B58" s="32" t="s">
        <v>237</v>
      </c>
      <c r="C58" s="33" t="s">
        <v>235</v>
      </c>
      <c r="D58" s="33" t="s">
        <v>323</v>
      </c>
      <c r="E58" s="33" t="s">
        <v>334</v>
      </c>
      <c r="F58" s="33">
        <v>4</v>
      </c>
      <c r="G58" s="34" t="s">
        <v>382</v>
      </c>
      <c r="H58" s="35"/>
    </row>
    <row r="59" spans="2:9" ht="15.6" x14ac:dyDescent="0.3">
      <c r="B59" s="32" t="s">
        <v>240</v>
      </c>
      <c r="C59" s="28" t="s">
        <v>220</v>
      </c>
      <c r="D59" s="28" t="s">
        <v>324</v>
      </c>
      <c r="E59" s="28" t="s">
        <v>334</v>
      </c>
      <c r="F59" s="28">
        <v>5</v>
      </c>
      <c r="G59" s="30"/>
      <c r="H59" s="31"/>
    </row>
    <row r="60" spans="2:9" ht="15.6" x14ac:dyDescent="0.3">
      <c r="B60" s="32" t="s">
        <v>243</v>
      </c>
      <c r="C60" s="33" t="s">
        <v>231</v>
      </c>
      <c r="D60" s="33" t="s">
        <v>325</v>
      </c>
      <c r="E60" s="33" t="s">
        <v>334</v>
      </c>
      <c r="F60" s="75">
        <v>1</v>
      </c>
      <c r="G60" s="76" t="s">
        <v>383</v>
      </c>
      <c r="H60" s="77" t="s">
        <v>386</v>
      </c>
      <c r="I60" t="s">
        <v>385</v>
      </c>
    </row>
    <row r="61" spans="2:9" ht="15.6" x14ac:dyDescent="0.3">
      <c r="B61" s="32" t="s">
        <v>245</v>
      </c>
      <c r="C61" s="28" t="s">
        <v>261</v>
      </c>
      <c r="D61" s="28" t="s">
        <v>326</v>
      </c>
      <c r="E61" s="28" t="s">
        <v>334</v>
      </c>
      <c r="F61" s="28">
        <v>5</v>
      </c>
      <c r="G61" s="30"/>
      <c r="H61" s="31"/>
    </row>
    <row r="62" spans="2:9" ht="15.6" x14ac:dyDescent="0.3">
      <c r="B62" s="32" t="s">
        <v>248</v>
      </c>
      <c r="C62" s="33" t="s">
        <v>335</v>
      </c>
      <c r="D62" s="33" t="s">
        <v>327</v>
      </c>
      <c r="E62" s="33" t="s">
        <v>334</v>
      </c>
      <c r="F62" s="33">
        <v>4</v>
      </c>
      <c r="G62" s="34" t="s">
        <v>382</v>
      </c>
      <c r="H62" s="35"/>
    </row>
    <row r="63" spans="2:9" ht="15.6" x14ac:dyDescent="0.3">
      <c r="B63" s="32" t="s">
        <v>252</v>
      </c>
      <c r="C63" s="28" t="s">
        <v>261</v>
      </c>
      <c r="D63" s="28" t="s">
        <v>328</v>
      </c>
      <c r="E63" s="28" t="s">
        <v>334</v>
      </c>
      <c r="F63" s="28">
        <v>3</v>
      </c>
      <c r="G63" s="30" t="s">
        <v>377</v>
      </c>
      <c r="H63" s="31"/>
    </row>
    <row r="64" spans="2:9" ht="15.6" x14ac:dyDescent="0.3">
      <c r="B64" s="32" t="s">
        <v>255</v>
      </c>
      <c r="C64" s="33" t="s">
        <v>231</v>
      </c>
      <c r="D64" s="33" t="s">
        <v>329</v>
      </c>
      <c r="E64" s="33" t="s">
        <v>334</v>
      </c>
      <c r="F64" s="33">
        <v>3</v>
      </c>
      <c r="G64" s="34" t="s">
        <v>382</v>
      </c>
      <c r="H64" s="35"/>
    </row>
    <row r="65" spans="2:8" ht="15.6" x14ac:dyDescent="0.3">
      <c r="B65" s="48" t="s">
        <v>257</v>
      </c>
      <c r="C65" s="49" t="s">
        <v>220</v>
      </c>
      <c r="D65" s="49" t="s">
        <v>330</v>
      </c>
      <c r="E65" s="49" t="s">
        <v>334</v>
      </c>
      <c r="F65" s="49">
        <v>5</v>
      </c>
      <c r="G65" s="50"/>
      <c r="H65" s="51"/>
    </row>
    <row r="66" spans="2:8" x14ac:dyDescent="0.3">
      <c r="F66">
        <f>AVERAGE(F3:F65)</f>
        <v>4.6349206349206353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D6A9A-B4E5-4068-B2C7-7C615584430B}">
  <dimension ref="B2:H66"/>
  <sheetViews>
    <sheetView topLeftCell="A38" workbookViewId="0">
      <selection activeCell="F58" sqref="F58"/>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3</v>
      </c>
      <c r="G7" s="30" t="s">
        <v>338</v>
      </c>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387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4</v>
      </c>
      <c r="G24" s="34" t="s">
        <v>338</v>
      </c>
      <c r="H24" s="35" t="s">
        <v>388</v>
      </c>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387</v>
      </c>
    </row>
    <row r="28" spans="2:8" ht="15.6" x14ac:dyDescent="0.3">
      <c r="B28" s="32" t="s">
        <v>245</v>
      </c>
      <c r="C28" s="33" t="s">
        <v>261</v>
      </c>
      <c r="D28" s="33" t="s">
        <v>284</v>
      </c>
      <c r="E28" s="33" t="s">
        <v>334</v>
      </c>
      <c r="F28" s="33">
        <v>4</v>
      </c>
      <c r="G28" s="34" t="s">
        <v>341</v>
      </c>
      <c r="H28" s="35" t="s">
        <v>389</v>
      </c>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387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3</v>
      </c>
      <c r="G56" s="34" t="s">
        <v>338</v>
      </c>
      <c r="H56" s="35" t="s">
        <v>367</v>
      </c>
    </row>
    <row r="57" spans="2:8" ht="15.6" x14ac:dyDescent="0.3">
      <c r="B57" s="32" t="s">
        <v>233</v>
      </c>
      <c r="C57" s="28" t="s">
        <v>235</v>
      </c>
      <c r="D57" s="28" t="s">
        <v>322</v>
      </c>
      <c r="E57" s="28" t="s">
        <v>334</v>
      </c>
      <c r="F57" s="28">
        <v>4</v>
      </c>
      <c r="G57" s="30" t="s">
        <v>341</v>
      </c>
      <c r="H57" s="31" t="s">
        <v>390</v>
      </c>
    </row>
    <row r="58" spans="2:8" ht="15.6" x14ac:dyDescent="0.3">
      <c r="B58" s="32" t="s">
        <v>237</v>
      </c>
      <c r="C58" s="33" t="s">
        <v>235</v>
      </c>
      <c r="D58" s="33" t="s">
        <v>323</v>
      </c>
      <c r="E58" s="33" t="s">
        <v>334</v>
      </c>
      <c r="F58" s="33">
        <v>3</v>
      </c>
      <c r="G58" s="34" t="s">
        <v>338</v>
      </c>
      <c r="H58" s="35" t="s">
        <v>391</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2</v>
      </c>
      <c r="G60" s="76" t="s">
        <v>392</v>
      </c>
      <c r="H60" s="77" t="s">
        <v>393</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4.5714285714285712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DBFE-5187-4AC3-AB3F-4B94DB365332}">
  <dimension ref="B2:I66"/>
  <sheetViews>
    <sheetView workbookViewId="0">
      <selection activeCell="F60" sqref="F60:H6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2">
        <v>0</v>
      </c>
      <c r="G11" s="73" t="s">
        <v>338</v>
      </c>
      <c r="H11" s="74" t="s">
        <v>394</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9" ht="15.6" x14ac:dyDescent="0.3">
      <c r="B17" s="40" t="s">
        <v>214</v>
      </c>
      <c r="C17" s="41" t="s">
        <v>261</v>
      </c>
      <c r="D17" s="41" t="s">
        <v>262</v>
      </c>
      <c r="E17" s="41" t="s">
        <v>334</v>
      </c>
      <c r="F17" s="41">
        <v>5</v>
      </c>
      <c r="G17" s="42"/>
      <c r="H17" s="31"/>
    </row>
    <row r="18" spans="2:9" ht="15.6" x14ac:dyDescent="0.3">
      <c r="B18" s="32" t="s">
        <v>263</v>
      </c>
      <c r="C18" s="33" t="s">
        <v>235</v>
      </c>
      <c r="D18" s="33" t="s">
        <v>265</v>
      </c>
      <c r="E18" s="33" t="s">
        <v>334</v>
      </c>
      <c r="F18" s="33">
        <v>5</v>
      </c>
      <c r="G18" s="34"/>
      <c r="H18" s="35"/>
    </row>
    <row r="19" spans="2:9" ht="15.6" x14ac:dyDescent="0.3">
      <c r="B19" s="32" t="s">
        <v>222</v>
      </c>
      <c r="C19" s="28" t="s">
        <v>224</v>
      </c>
      <c r="D19" s="28" t="s">
        <v>266</v>
      </c>
      <c r="E19" s="28" t="s">
        <v>334</v>
      </c>
      <c r="F19" s="28">
        <v>5</v>
      </c>
      <c r="G19" s="30"/>
      <c r="H19" s="31"/>
    </row>
    <row r="20" spans="2:9" ht="15.6" x14ac:dyDescent="0.3">
      <c r="B20" s="32" t="s">
        <v>267</v>
      </c>
      <c r="C20" s="33" t="s">
        <v>231</v>
      </c>
      <c r="D20" s="33" t="s">
        <v>269</v>
      </c>
      <c r="E20" s="33" t="s">
        <v>334</v>
      </c>
      <c r="F20" s="33">
        <v>5</v>
      </c>
      <c r="G20" s="34"/>
      <c r="H20" s="35"/>
    </row>
    <row r="21" spans="2:9" ht="15.6" x14ac:dyDescent="0.3">
      <c r="B21" s="32" t="s">
        <v>270</v>
      </c>
      <c r="C21" s="28" t="s">
        <v>231</v>
      </c>
      <c r="D21" s="28" t="s">
        <v>272</v>
      </c>
      <c r="E21" s="28" t="s">
        <v>334</v>
      </c>
      <c r="F21" s="28">
        <v>5</v>
      </c>
      <c r="G21" s="30"/>
      <c r="H21" s="31"/>
    </row>
    <row r="22" spans="2:9" ht="15.6" x14ac:dyDescent="0.3">
      <c r="B22" s="32" t="s">
        <v>226</v>
      </c>
      <c r="C22" s="33" t="s">
        <v>261</v>
      </c>
      <c r="D22" s="33" t="s">
        <v>274</v>
      </c>
      <c r="E22" s="33" t="s">
        <v>334</v>
      </c>
      <c r="F22" s="43">
        <v>5</v>
      </c>
      <c r="G22" s="44"/>
      <c r="H22" s="35"/>
    </row>
    <row r="23" spans="2:9" ht="15.6" x14ac:dyDescent="0.3">
      <c r="B23" s="32" t="s">
        <v>229</v>
      </c>
      <c r="C23" s="28" t="s">
        <v>231</v>
      </c>
      <c r="D23" s="28" t="s">
        <v>275</v>
      </c>
      <c r="E23" s="28" t="s">
        <v>334</v>
      </c>
      <c r="F23" s="28">
        <v>5</v>
      </c>
      <c r="G23" s="30"/>
      <c r="H23" s="31"/>
    </row>
    <row r="24" spans="2:9" ht="15.6" x14ac:dyDescent="0.3">
      <c r="B24" s="32" t="s">
        <v>233</v>
      </c>
      <c r="C24" s="33" t="s">
        <v>235</v>
      </c>
      <c r="D24" s="33" t="s">
        <v>277</v>
      </c>
      <c r="E24" s="33" t="s">
        <v>334</v>
      </c>
      <c r="F24" s="33">
        <v>4</v>
      </c>
      <c r="G24" s="34" t="s">
        <v>382</v>
      </c>
      <c r="H24" s="35"/>
    </row>
    <row r="25" spans="2:9" ht="15.6" x14ac:dyDescent="0.3">
      <c r="B25" s="32" t="s">
        <v>237</v>
      </c>
      <c r="C25" s="28" t="s">
        <v>235</v>
      </c>
      <c r="D25" s="28" t="s">
        <v>279</v>
      </c>
      <c r="E25" s="28" t="s">
        <v>334</v>
      </c>
      <c r="F25" s="28">
        <v>3</v>
      </c>
      <c r="G25" s="30" t="s">
        <v>382</v>
      </c>
      <c r="H25" s="31"/>
    </row>
    <row r="26" spans="2:9" ht="15.6" x14ac:dyDescent="0.3">
      <c r="B26" s="32" t="s">
        <v>240</v>
      </c>
      <c r="C26" s="33" t="s">
        <v>220</v>
      </c>
      <c r="D26" s="33" t="s">
        <v>281</v>
      </c>
      <c r="E26" s="33" t="s">
        <v>334</v>
      </c>
      <c r="F26" s="33">
        <v>5</v>
      </c>
      <c r="G26" s="34"/>
      <c r="H26" s="35"/>
    </row>
    <row r="27" spans="2:9" ht="15.6" x14ac:dyDescent="0.3">
      <c r="B27" s="32" t="s">
        <v>243</v>
      </c>
      <c r="C27" s="28" t="s">
        <v>235</v>
      </c>
      <c r="D27" s="28" t="s">
        <v>283</v>
      </c>
      <c r="E27" s="28" t="s">
        <v>334</v>
      </c>
      <c r="F27" s="75">
        <v>3</v>
      </c>
      <c r="G27" s="76" t="s">
        <v>338</v>
      </c>
      <c r="H27" s="77" t="s">
        <v>395</v>
      </c>
    </row>
    <row r="28" spans="2:9" ht="15.6" x14ac:dyDescent="0.3">
      <c r="B28" s="32" t="s">
        <v>245</v>
      </c>
      <c r="C28" s="33" t="s">
        <v>261</v>
      </c>
      <c r="D28" s="33" t="s">
        <v>284</v>
      </c>
      <c r="E28" s="33" t="s">
        <v>334</v>
      </c>
      <c r="F28" s="33">
        <v>5</v>
      </c>
      <c r="G28" s="34"/>
      <c r="H28" s="35"/>
    </row>
    <row r="29" spans="2:9" ht="15.6" x14ac:dyDescent="0.3">
      <c r="B29" s="32" t="s">
        <v>248</v>
      </c>
      <c r="C29" s="28" t="s">
        <v>335</v>
      </c>
      <c r="D29" s="28" t="s">
        <v>287</v>
      </c>
      <c r="E29" s="28" t="s">
        <v>334</v>
      </c>
      <c r="F29" s="28">
        <v>5</v>
      </c>
      <c r="G29" s="30"/>
      <c r="H29" s="31"/>
    </row>
    <row r="30" spans="2:9" ht="15.6" x14ac:dyDescent="0.3">
      <c r="B30" s="32" t="s">
        <v>252</v>
      </c>
      <c r="C30" s="33" t="s">
        <v>261</v>
      </c>
      <c r="D30" s="33" t="s">
        <v>288</v>
      </c>
      <c r="E30" s="33" t="s">
        <v>334</v>
      </c>
      <c r="F30" s="33">
        <v>5</v>
      </c>
      <c r="G30" s="34"/>
      <c r="H30" s="35"/>
    </row>
    <row r="31" spans="2:9" ht="15.6" x14ac:dyDescent="0.3">
      <c r="B31" s="32" t="s">
        <v>255</v>
      </c>
      <c r="C31" s="28" t="s">
        <v>231</v>
      </c>
      <c r="D31" s="28" t="s">
        <v>289</v>
      </c>
      <c r="E31" s="28" t="s">
        <v>334</v>
      </c>
      <c r="F31" s="30">
        <v>4</v>
      </c>
      <c r="G31" s="30" t="s">
        <v>382</v>
      </c>
      <c r="H31" s="31"/>
      <c r="I31" s="97"/>
    </row>
    <row r="32" spans="2:9" ht="16.2" thickBot="1" x14ac:dyDescent="0.35">
      <c r="B32" s="36" t="s">
        <v>257</v>
      </c>
      <c r="C32" s="37" t="s">
        <v>220</v>
      </c>
      <c r="D32" s="37" t="s">
        <v>291</v>
      </c>
      <c r="E32" s="37" t="s">
        <v>334</v>
      </c>
      <c r="F32" s="39">
        <v>4</v>
      </c>
      <c r="G32" s="38" t="s">
        <v>382</v>
      </c>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4</v>
      </c>
      <c r="G37" s="30" t="s">
        <v>382</v>
      </c>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338</v>
      </c>
      <c r="H44" s="74" t="s">
        <v>394</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9" ht="16.2" thickBot="1" x14ac:dyDescent="0.35">
      <c r="B49" s="36" t="s">
        <v>257</v>
      </c>
      <c r="C49" s="45" t="s">
        <v>220</v>
      </c>
      <c r="D49" s="45" t="s">
        <v>314</v>
      </c>
      <c r="E49" s="45" t="s">
        <v>334</v>
      </c>
      <c r="F49" s="45">
        <v>3</v>
      </c>
      <c r="G49" s="46" t="s">
        <v>341</v>
      </c>
      <c r="H49" s="47" t="s">
        <v>396</v>
      </c>
    </row>
    <row r="50" spans="2:9" ht="15.6" x14ac:dyDescent="0.3">
      <c r="B50" s="40" t="s">
        <v>214</v>
      </c>
      <c r="C50" s="43" t="s">
        <v>261</v>
      </c>
      <c r="D50" s="43" t="s">
        <v>315</v>
      </c>
      <c r="E50" s="43" t="s">
        <v>334</v>
      </c>
      <c r="F50" s="43">
        <v>4</v>
      </c>
      <c r="G50" s="44" t="s">
        <v>338</v>
      </c>
      <c r="H50" s="35"/>
    </row>
    <row r="51" spans="2:9" ht="15.6" x14ac:dyDescent="0.3">
      <c r="B51" s="32" t="s">
        <v>263</v>
      </c>
      <c r="C51" s="28" t="s">
        <v>235</v>
      </c>
      <c r="D51" s="28" t="s">
        <v>316</v>
      </c>
      <c r="E51" s="28" t="s">
        <v>334</v>
      </c>
      <c r="F51" s="28">
        <v>5</v>
      </c>
      <c r="G51" s="30"/>
      <c r="H51" s="31"/>
    </row>
    <row r="52" spans="2:9" ht="15.6" x14ac:dyDescent="0.3">
      <c r="B52" s="32" t="s">
        <v>222</v>
      </c>
      <c r="C52" s="33" t="s">
        <v>224</v>
      </c>
      <c r="D52" s="33" t="s">
        <v>317</v>
      </c>
      <c r="E52" s="33" t="s">
        <v>334</v>
      </c>
      <c r="F52" s="33">
        <v>5</v>
      </c>
      <c r="G52" s="34"/>
      <c r="H52" s="35"/>
    </row>
    <row r="53" spans="2:9" ht="15.6" x14ac:dyDescent="0.3">
      <c r="B53" s="32" t="s">
        <v>267</v>
      </c>
      <c r="C53" s="28" t="s">
        <v>231</v>
      </c>
      <c r="D53" s="28" t="s">
        <v>318</v>
      </c>
      <c r="E53" s="28" t="s">
        <v>334</v>
      </c>
      <c r="F53" s="28">
        <v>5</v>
      </c>
      <c r="G53" s="30"/>
      <c r="H53" s="31"/>
    </row>
    <row r="54" spans="2:9" ht="15.6" x14ac:dyDescent="0.3">
      <c r="B54" s="32" t="s">
        <v>270</v>
      </c>
      <c r="C54" s="33" t="s">
        <v>231</v>
      </c>
      <c r="D54" s="33" t="s">
        <v>319</v>
      </c>
      <c r="E54" s="33" t="s">
        <v>334</v>
      </c>
      <c r="F54" s="33">
        <v>5</v>
      </c>
      <c r="G54" s="34"/>
      <c r="H54" s="35"/>
    </row>
    <row r="55" spans="2:9" ht="15.6" x14ac:dyDescent="0.3">
      <c r="B55" s="32" t="s">
        <v>226</v>
      </c>
      <c r="C55" s="28" t="s">
        <v>261</v>
      </c>
      <c r="D55" s="28" t="s">
        <v>320</v>
      </c>
      <c r="E55" s="28" t="s">
        <v>334</v>
      </c>
      <c r="F55" s="28">
        <v>4</v>
      </c>
      <c r="G55" s="30" t="s">
        <v>338</v>
      </c>
      <c r="H55" s="31" t="s">
        <v>395</v>
      </c>
    </row>
    <row r="56" spans="2:9" ht="15.6" x14ac:dyDescent="0.3">
      <c r="B56" s="32" t="s">
        <v>229</v>
      </c>
      <c r="C56" s="33" t="s">
        <v>231</v>
      </c>
      <c r="D56" s="33" t="s">
        <v>321</v>
      </c>
      <c r="E56" s="33" t="s">
        <v>334</v>
      </c>
      <c r="F56" s="33">
        <v>5</v>
      </c>
      <c r="G56" s="34"/>
      <c r="H56" s="35"/>
    </row>
    <row r="57" spans="2:9" ht="15.6" x14ac:dyDescent="0.3">
      <c r="B57" s="32" t="s">
        <v>233</v>
      </c>
      <c r="C57" s="28" t="s">
        <v>235</v>
      </c>
      <c r="D57" s="28" t="s">
        <v>322</v>
      </c>
      <c r="E57" s="28" t="s">
        <v>334</v>
      </c>
      <c r="F57" s="28">
        <v>4</v>
      </c>
      <c r="G57" s="30" t="s">
        <v>341</v>
      </c>
      <c r="H57" s="31"/>
    </row>
    <row r="58" spans="2:9" ht="15.6" x14ac:dyDescent="0.3">
      <c r="B58" s="32" t="s">
        <v>237</v>
      </c>
      <c r="C58" s="33" t="s">
        <v>235</v>
      </c>
      <c r="D58" s="33" t="s">
        <v>323</v>
      </c>
      <c r="E58" s="33" t="s">
        <v>334</v>
      </c>
      <c r="F58" s="33">
        <v>3</v>
      </c>
      <c r="G58" s="34" t="s">
        <v>341</v>
      </c>
      <c r="H58" s="35"/>
    </row>
    <row r="59" spans="2:9" ht="15.6" x14ac:dyDescent="0.3">
      <c r="B59" s="32" t="s">
        <v>240</v>
      </c>
      <c r="C59" s="28" t="s">
        <v>220</v>
      </c>
      <c r="D59" s="28" t="s">
        <v>324</v>
      </c>
      <c r="E59" s="28" t="s">
        <v>334</v>
      </c>
      <c r="F59" s="28">
        <v>5</v>
      </c>
      <c r="G59" s="30"/>
      <c r="H59" s="31"/>
    </row>
    <row r="60" spans="2:9" ht="15.6" x14ac:dyDescent="0.3">
      <c r="B60" s="32" t="s">
        <v>243</v>
      </c>
      <c r="C60" s="33" t="s">
        <v>231</v>
      </c>
      <c r="D60" s="33" t="s">
        <v>325</v>
      </c>
      <c r="E60" s="33" t="s">
        <v>334</v>
      </c>
      <c r="F60" s="72">
        <v>3</v>
      </c>
      <c r="G60" s="73" t="s">
        <v>338</v>
      </c>
      <c r="H60" s="74" t="s">
        <v>395</v>
      </c>
    </row>
    <row r="61" spans="2:9" ht="15.6" x14ac:dyDescent="0.3">
      <c r="B61" s="32" t="s">
        <v>245</v>
      </c>
      <c r="C61" s="28" t="s">
        <v>261</v>
      </c>
      <c r="D61" s="28" t="s">
        <v>326</v>
      </c>
      <c r="E61" s="28" t="s">
        <v>334</v>
      </c>
      <c r="F61" s="28">
        <v>5</v>
      </c>
      <c r="G61" s="30"/>
      <c r="H61" s="31"/>
    </row>
    <row r="62" spans="2:9" ht="15.6" x14ac:dyDescent="0.3">
      <c r="B62" s="32" t="s">
        <v>248</v>
      </c>
      <c r="C62" s="33" t="s">
        <v>335</v>
      </c>
      <c r="D62" s="33" t="s">
        <v>327</v>
      </c>
      <c r="E62" s="33" t="s">
        <v>334</v>
      </c>
      <c r="F62" s="33">
        <v>5</v>
      </c>
      <c r="G62" s="34"/>
      <c r="H62" s="35"/>
    </row>
    <row r="63" spans="2:9" ht="15.6" x14ac:dyDescent="0.3">
      <c r="B63" s="32" t="s">
        <v>252</v>
      </c>
      <c r="C63" s="28" t="s">
        <v>261</v>
      </c>
      <c r="D63" s="28" t="s">
        <v>328</v>
      </c>
      <c r="E63" s="28" t="s">
        <v>334</v>
      </c>
      <c r="F63" s="28">
        <v>5</v>
      </c>
      <c r="G63" s="30"/>
      <c r="H63" s="31"/>
    </row>
    <row r="64" spans="2:9" ht="15.6" x14ac:dyDescent="0.3">
      <c r="B64" s="32" t="s">
        <v>255</v>
      </c>
      <c r="C64" s="33" t="s">
        <v>231</v>
      </c>
      <c r="D64" s="33" t="s">
        <v>329</v>
      </c>
      <c r="E64" s="33" t="s">
        <v>334</v>
      </c>
      <c r="F64" s="33">
        <v>4</v>
      </c>
      <c r="G64" s="34" t="s">
        <v>381</v>
      </c>
      <c r="H64" s="35" t="s">
        <v>397</v>
      </c>
      <c r="I64" s="98"/>
    </row>
    <row r="65" spans="2:8" ht="15.6" x14ac:dyDescent="0.3">
      <c r="B65" s="48" t="s">
        <v>257</v>
      </c>
      <c r="C65" s="49" t="s">
        <v>220</v>
      </c>
      <c r="D65" s="49" t="s">
        <v>330</v>
      </c>
      <c r="E65" s="49" t="s">
        <v>334</v>
      </c>
      <c r="F65" s="49">
        <v>4</v>
      </c>
      <c r="G65" s="50" t="s">
        <v>341</v>
      </c>
      <c r="H65" s="51"/>
    </row>
    <row r="66" spans="2:8" x14ac:dyDescent="0.3">
      <c r="F66">
        <f>AVERAGE(F3:F65)</f>
        <v>4.5396825396825395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E1F8-9AFA-4B79-BC45-61044A276846}">
  <dimension ref="B2:H66"/>
  <sheetViews>
    <sheetView topLeftCell="A32" workbookViewId="0">
      <selection activeCell="G53" sqref="G5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2">
        <v>0</v>
      </c>
      <c r="G11" s="73" t="s">
        <v>336</v>
      </c>
      <c r="H11" s="74"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4</v>
      </c>
      <c r="G23" s="30" t="s">
        <v>341</v>
      </c>
      <c r="H23" s="31" t="s">
        <v>367</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3</v>
      </c>
      <c r="G25" s="30" t="s">
        <v>341</v>
      </c>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2">
        <v>0</v>
      </c>
      <c r="G27" s="73" t="s">
        <v>336</v>
      </c>
      <c r="H27" s="74"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30">
        <v>5</v>
      </c>
      <c r="G31" s="30"/>
      <c r="H31" s="31"/>
    </row>
    <row r="32" spans="2:8" ht="16.2" thickBot="1" x14ac:dyDescent="0.35">
      <c r="B32" s="36" t="s">
        <v>257</v>
      </c>
      <c r="C32" s="37" t="s">
        <v>220</v>
      </c>
      <c r="D32" s="37" t="s">
        <v>291</v>
      </c>
      <c r="E32" s="37" t="s">
        <v>334</v>
      </c>
      <c r="F32" s="39">
        <v>3</v>
      </c>
      <c r="G32" s="38" t="s">
        <v>382</v>
      </c>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337</v>
      </c>
    </row>
    <row r="45" spans="2:8" ht="15.6" x14ac:dyDescent="0.3">
      <c r="B45" s="32" t="s">
        <v>245</v>
      </c>
      <c r="C45" s="28" t="s">
        <v>216</v>
      </c>
      <c r="D45" s="28" t="s">
        <v>310</v>
      </c>
      <c r="E45" s="28" t="s">
        <v>334</v>
      </c>
      <c r="F45" s="28">
        <v>4</v>
      </c>
      <c r="G45" s="30" t="s">
        <v>377</v>
      </c>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4</v>
      </c>
      <c r="G48" s="34" t="s">
        <v>341</v>
      </c>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4.5714285714285712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76A2-8C49-4F6C-B6B5-F177C7CD0EAD}">
  <dimension ref="B2:H66"/>
  <sheetViews>
    <sheetView topLeftCell="A32" workbookViewId="0">
      <selection activeCell="F54" sqref="F54"/>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8">
        <v>4</v>
      </c>
      <c r="G3" s="79" t="s">
        <v>381</v>
      </c>
      <c r="H3" s="77" t="s">
        <v>398</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8">
        <v>0</v>
      </c>
      <c r="G6" s="79" t="s">
        <v>336</v>
      </c>
      <c r="H6" s="77"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4</v>
      </c>
      <c r="G11" s="30" t="s">
        <v>341</v>
      </c>
      <c r="H11" s="31" t="s">
        <v>399</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8">
        <v>4</v>
      </c>
      <c r="G17" s="79" t="s">
        <v>381</v>
      </c>
      <c r="H17" s="77" t="s">
        <v>398</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8">
        <v>0</v>
      </c>
      <c r="G22" s="79" t="s">
        <v>336</v>
      </c>
      <c r="H22" s="77"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4</v>
      </c>
      <c r="G27" s="30" t="s">
        <v>363</v>
      </c>
      <c r="H27" s="31" t="s">
        <v>400</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t="s">
        <v>353</v>
      </c>
      <c r="H31" s="31" t="s">
        <v>401</v>
      </c>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4</v>
      </c>
      <c r="G44" s="34" t="s">
        <v>341</v>
      </c>
      <c r="H44" s="35" t="s">
        <v>399</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4</v>
      </c>
      <c r="G51" s="30" t="s">
        <v>402</v>
      </c>
      <c r="H51" s="31" t="s">
        <v>403</v>
      </c>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4</v>
      </c>
      <c r="G53" s="30" t="s">
        <v>358</v>
      </c>
      <c r="H53" s="31"/>
    </row>
    <row r="54" spans="2:8" ht="15.6" x14ac:dyDescent="0.3">
      <c r="B54" s="32" t="s">
        <v>270</v>
      </c>
      <c r="C54" s="33" t="s">
        <v>231</v>
      </c>
      <c r="D54" s="33" t="s">
        <v>319</v>
      </c>
      <c r="E54" s="33" t="s">
        <v>334</v>
      </c>
      <c r="F54" s="33">
        <v>3</v>
      </c>
      <c r="G54" s="34" t="s">
        <v>341</v>
      </c>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4</v>
      </c>
      <c r="G57" s="30" t="s">
        <v>341</v>
      </c>
      <c r="H57" s="31" t="s">
        <v>404</v>
      </c>
    </row>
    <row r="58" spans="2:8" ht="15.6" x14ac:dyDescent="0.3">
      <c r="B58" s="32" t="s">
        <v>237</v>
      </c>
      <c r="C58" s="33" t="s">
        <v>235</v>
      </c>
      <c r="D58" s="33" t="s">
        <v>323</v>
      </c>
      <c r="E58" s="33" t="s">
        <v>334</v>
      </c>
      <c r="F58" s="33">
        <v>4</v>
      </c>
      <c r="G58" s="34" t="s">
        <v>363</v>
      </c>
      <c r="H58" s="35" t="s">
        <v>405</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4</v>
      </c>
      <c r="G60" s="34" t="s">
        <v>363</v>
      </c>
      <c r="H60" s="35" t="s">
        <v>400</v>
      </c>
    </row>
    <row r="61" spans="2:8" ht="15.6" x14ac:dyDescent="0.3">
      <c r="B61" s="32" t="s">
        <v>245</v>
      </c>
      <c r="C61" s="28" t="s">
        <v>261</v>
      </c>
      <c r="D61" s="28" t="s">
        <v>326</v>
      </c>
      <c r="E61" s="28" t="s">
        <v>334</v>
      </c>
      <c r="F61" s="28">
        <v>3</v>
      </c>
      <c r="G61" s="30" t="s">
        <v>381</v>
      </c>
      <c r="H61" s="31" t="s">
        <v>406</v>
      </c>
    </row>
    <row r="62" spans="2:8" ht="15.6" x14ac:dyDescent="0.3">
      <c r="B62" s="32" t="s">
        <v>248</v>
      </c>
      <c r="C62" s="33" t="s">
        <v>335</v>
      </c>
      <c r="D62" s="33" t="s">
        <v>327</v>
      </c>
      <c r="E62" s="33" t="s">
        <v>334</v>
      </c>
      <c r="F62" s="33">
        <v>4</v>
      </c>
      <c r="G62" s="34" t="s">
        <v>381</v>
      </c>
      <c r="H62" s="35" t="s">
        <v>407</v>
      </c>
    </row>
    <row r="63" spans="2:8" ht="15.6" x14ac:dyDescent="0.3">
      <c r="B63" s="32" t="s">
        <v>252</v>
      </c>
      <c r="C63" s="28" t="s">
        <v>261</v>
      </c>
      <c r="D63" s="28" t="s">
        <v>328</v>
      </c>
      <c r="E63" s="28" t="s">
        <v>334</v>
      </c>
      <c r="F63" s="28">
        <v>4</v>
      </c>
      <c r="G63" s="30" t="s">
        <v>363</v>
      </c>
      <c r="H63" s="31" t="s">
        <v>408</v>
      </c>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3</v>
      </c>
      <c r="G65" s="50" t="s">
        <v>381</v>
      </c>
      <c r="H65" s="51" t="s">
        <v>409</v>
      </c>
    </row>
    <row r="66" spans="2:8" x14ac:dyDescent="0.3">
      <c r="F66">
        <f>AVERAGE(F3:F65)</f>
        <v>4.5555555555555554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7583-FE7D-4146-8E4D-8D7B672100DD}">
  <dimension ref="B2:H66"/>
  <sheetViews>
    <sheetView workbookViewId="0">
      <selection activeCell="F58" sqref="F58"/>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8">
        <v>4</v>
      </c>
      <c r="G3" s="79" t="s">
        <v>381</v>
      </c>
      <c r="H3" s="77" t="s">
        <v>398</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8">
        <v>0</v>
      </c>
      <c r="G6" s="79" t="s">
        <v>336</v>
      </c>
      <c r="H6" s="77"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33">
        <v>4</v>
      </c>
      <c r="G9" s="34" t="s">
        <v>381</v>
      </c>
      <c r="H9" s="35" t="s">
        <v>410</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8">
        <v>0</v>
      </c>
      <c r="G11" s="79"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8">
        <v>4</v>
      </c>
      <c r="G17" s="79" t="s">
        <v>381</v>
      </c>
      <c r="H17" s="77" t="s">
        <v>398</v>
      </c>
    </row>
    <row r="18" spans="2:8" ht="15.6" x14ac:dyDescent="0.3">
      <c r="B18" s="32" t="s">
        <v>263</v>
      </c>
      <c r="C18" s="33" t="s">
        <v>235</v>
      </c>
      <c r="D18" s="33" t="s">
        <v>265</v>
      </c>
      <c r="E18" s="33" t="s">
        <v>334</v>
      </c>
      <c r="F18" s="33">
        <v>4</v>
      </c>
      <c r="G18" s="34" t="s">
        <v>411</v>
      </c>
      <c r="H18" s="35" t="s">
        <v>412</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8">
        <v>0</v>
      </c>
      <c r="G22" s="79" t="s">
        <v>336</v>
      </c>
      <c r="H22" s="77"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4</v>
      </c>
      <c r="G24" s="34" t="s">
        <v>341</v>
      </c>
      <c r="H24" s="35"/>
    </row>
    <row r="25" spans="2:8" ht="15.6" x14ac:dyDescent="0.3">
      <c r="B25" s="32" t="s">
        <v>237</v>
      </c>
      <c r="C25" s="28" t="s">
        <v>235</v>
      </c>
      <c r="D25" s="28" t="s">
        <v>279</v>
      </c>
      <c r="E25" s="28" t="s">
        <v>334</v>
      </c>
      <c r="F25" s="75">
        <v>2</v>
      </c>
      <c r="G25" s="76" t="s">
        <v>381</v>
      </c>
      <c r="H25" s="77" t="s">
        <v>413</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8">
        <v>0</v>
      </c>
      <c r="G27" s="79"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4</v>
      </c>
      <c r="G41" s="30" t="s">
        <v>341</v>
      </c>
      <c r="H41" s="31"/>
    </row>
    <row r="42" spans="2:8" ht="15.6" x14ac:dyDescent="0.3">
      <c r="B42" s="32" t="s">
        <v>237</v>
      </c>
      <c r="C42" s="33" t="s">
        <v>235</v>
      </c>
      <c r="D42" s="33" t="s">
        <v>307</v>
      </c>
      <c r="E42" s="33" t="s">
        <v>334</v>
      </c>
      <c r="F42" s="33">
        <v>4</v>
      </c>
      <c r="G42" s="34" t="s">
        <v>381</v>
      </c>
      <c r="H42" s="35" t="s">
        <v>410</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4</v>
      </c>
      <c r="G47" s="30" t="s">
        <v>341</v>
      </c>
      <c r="H47" s="31" t="s">
        <v>410</v>
      </c>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3</v>
      </c>
      <c r="G51" s="30" t="s">
        <v>402</v>
      </c>
      <c r="H51" s="31" t="s">
        <v>412</v>
      </c>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4</v>
      </c>
      <c r="G57" s="30" t="s">
        <v>381</v>
      </c>
      <c r="H57" s="31" t="s">
        <v>414</v>
      </c>
    </row>
    <row r="58" spans="2:8" ht="15.6" x14ac:dyDescent="0.3">
      <c r="B58" s="32" t="s">
        <v>237</v>
      </c>
      <c r="C58" s="33" t="s">
        <v>235</v>
      </c>
      <c r="D58" s="33" t="s">
        <v>323</v>
      </c>
      <c r="E58" s="33" t="s">
        <v>334</v>
      </c>
      <c r="F58" s="72">
        <v>1</v>
      </c>
      <c r="G58" s="73" t="s">
        <v>338</v>
      </c>
      <c r="H58" s="74" t="s">
        <v>413</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4</v>
      </c>
      <c r="G65" s="50" t="s">
        <v>341</v>
      </c>
      <c r="H65" s="51" t="s">
        <v>415</v>
      </c>
    </row>
    <row r="66" spans="2:8" x14ac:dyDescent="0.3">
      <c r="F66">
        <f>AVERAGE(F3:F65)</f>
        <v>4.2222222222222223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1922-FDEE-43AB-9471-358066FBCCE7}">
  <dimension ref="B2:H66"/>
  <sheetViews>
    <sheetView workbookViewId="0">
      <selection activeCell="F49" sqref="F4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4</v>
      </c>
      <c r="G9" s="30" t="s">
        <v>338</v>
      </c>
      <c r="H9" s="31" t="s">
        <v>416</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4</v>
      </c>
      <c r="G16" s="38" t="s">
        <v>338</v>
      </c>
      <c r="H16" s="39" t="s">
        <v>416</v>
      </c>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4</v>
      </c>
      <c r="G18" s="34" t="s">
        <v>341</v>
      </c>
      <c r="H18" s="35" t="s">
        <v>417</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4</v>
      </c>
      <c r="G20" s="34" t="s">
        <v>375</v>
      </c>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3</v>
      </c>
      <c r="G25" s="30" t="s">
        <v>338</v>
      </c>
      <c r="H25" s="31" t="s">
        <v>418</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4</v>
      </c>
      <c r="G27" s="30" t="s">
        <v>363</v>
      </c>
      <c r="H27" s="31" t="s">
        <v>419</v>
      </c>
    </row>
    <row r="28" spans="2:8" ht="15.6" x14ac:dyDescent="0.3">
      <c r="B28" s="32" t="s">
        <v>245</v>
      </c>
      <c r="C28" s="33" t="s">
        <v>261</v>
      </c>
      <c r="D28" s="33" t="s">
        <v>284</v>
      </c>
      <c r="E28" s="33" t="s">
        <v>334</v>
      </c>
      <c r="F28" s="33">
        <v>4</v>
      </c>
      <c r="G28" s="34" t="s">
        <v>375</v>
      </c>
      <c r="H28" s="35"/>
    </row>
    <row r="29" spans="2:8" ht="15.6" x14ac:dyDescent="0.3">
      <c r="B29" s="32" t="s">
        <v>248</v>
      </c>
      <c r="C29" s="28" t="s">
        <v>335</v>
      </c>
      <c r="D29" s="28" t="s">
        <v>287</v>
      </c>
      <c r="E29" s="28" t="s">
        <v>334</v>
      </c>
      <c r="F29" s="28">
        <v>4</v>
      </c>
      <c r="G29" s="30" t="s">
        <v>338</v>
      </c>
      <c r="H29" s="31" t="s">
        <v>420</v>
      </c>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3</v>
      </c>
      <c r="G31" s="30" t="s">
        <v>375</v>
      </c>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4</v>
      </c>
      <c r="G38" s="34" t="s">
        <v>341</v>
      </c>
      <c r="H38" s="35" t="s">
        <v>421</v>
      </c>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4</v>
      </c>
      <c r="G54" s="34" t="s">
        <v>381</v>
      </c>
      <c r="H54" s="35" t="s">
        <v>422</v>
      </c>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4</v>
      </c>
      <c r="G56" s="34" t="s">
        <v>341</v>
      </c>
      <c r="H56" s="35" t="s">
        <v>423</v>
      </c>
    </row>
    <row r="57" spans="2:8" ht="15.6" x14ac:dyDescent="0.3">
      <c r="B57" s="32" t="s">
        <v>233</v>
      </c>
      <c r="C57" s="28" t="s">
        <v>235</v>
      </c>
      <c r="D57" s="28" t="s">
        <v>322</v>
      </c>
      <c r="E57" s="28" t="s">
        <v>334</v>
      </c>
      <c r="F57" s="28">
        <v>4</v>
      </c>
      <c r="G57" s="30" t="s">
        <v>341</v>
      </c>
      <c r="H57" s="31"/>
    </row>
    <row r="58" spans="2:8" ht="15.6" x14ac:dyDescent="0.3">
      <c r="B58" s="32" t="s">
        <v>237</v>
      </c>
      <c r="C58" s="33" t="s">
        <v>235</v>
      </c>
      <c r="D58" s="33" t="s">
        <v>323</v>
      </c>
      <c r="E58" s="33" t="s">
        <v>334</v>
      </c>
      <c r="F58" s="33">
        <v>4</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4</v>
      </c>
      <c r="G60" s="34"/>
      <c r="H60" s="35"/>
    </row>
    <row r="61" spans="2:8" ht="15.6" x14ac:dyDescent="0.3">
      <c r="B61" s="32" t="s">
        <v>245</v>
      </c>
      <c r="C61" s="28" t="s">
        <v>261</v>
      </c>
      <c r="D61" s="28" t="s">
        <v>326</v>
      </c>
      <c r="E61" s="28" t="s">
        <v>334</v>
      </c>
      <c r="F61" s="28">
        <v>4</v>
      </c>
      <c r="G61" s="30" t="s">
        <v>375</v>
      </c>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4</v>
      </c>
      <c r="G63" s="30" t="s">
        <v>341</v>
      </c>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4.6984126984126986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F876-E55F-4C01-A5C2-1DD9E41CE4BA}">
  <dimension ref="B2:H66"/>
  <sheetViews>
    <sheetView workbookViewId="0">
      <selection activeCell="G54" sqref="G54"/>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424</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4</v>
      </c>
      <c r="G23" s="30" t="s">
        <v>381</v>
      </c>
      <c r="H23" s="31" t="s">
        <v>425</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1</v>
      </c>
      <c r="G25" s="30" t="s">
        <v>381</v>
      </c>
      <c r="H25" s="31" t="s">
        <v>426</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424</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4</v>
      </c>
      <c r="G32" s="38" t="s">
        <v>341</v>
      </c>
      <c r="H32" s="39" t="s">
        <v>427</v>
      </c>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28">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28">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2">
        <v>0</v>
      </c>
      <c r="G42" s="73" t="s">
        <v>336</v>
      </c>
      <c r="H42" s="74" t="s">
        <v>424</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424</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3</v>
      </c>
      <c r="G48" s="34" t="s">
        <v>338</v>
      </c>
      <c r="H48" s="35" t="s">
        <v>428</v>
      </c>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2">
        <v>0</v>
      </c>
      <c r="G58" s="73" t="s">
        <v>336</v>
      </c>
      <c r="H58" s="74" t="s">
        <v>424</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424</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3</v>
      </c>
      <c r="G63" s="30" t="s">
        <v>338</v>
      </c>
      <c r="H63" s="31" t="s">
        <v>425</v>
      </c>
    </row>
    <row r="64" spans="2:8" ht="15.6" x14ac:dyDescent="0.3">
      <c r="B64" s="32" t="s">
        <v>255</v>
      </c>
      <c r="C64" s="33" t="s">
        <v>231</v>
      </c>
      <c r="D64" s="33" t="s">
        <v>329</v>
      </c>
      <c r="E64" s="33" t="s">
        <v>334</v>
      </c>
      <c r="F64" s="33">
        <v>3</v>
      </c>
      <c r="G64" s="34" t="s">
        <v>338</v>
      </c>
      <c r="H64" s="35" t="s">
        <v>427</v>
      </c>
    </row>
    <row r="65" spans="2:8" ht="15.6" x14ac:dyDescent="0.3">
      <c r="B65" s="48" t="s">
        <v>257</v>
      </c>
      <c r="C65" s="49" t="s">
        <v>220</v>
      </c>
      <c r="D65" s="49" t="s">
        <v>330</v>
      </c>
      <c r="E65" s="49" t="s">
        <v>334</v>
      </c>
      <c r="F65" s="49">
        <v>5</v>
      </c>
      <c r="G65" s="50"/>
      <c r="H65" s="51"/>
    </row>
    <row r="66" spans="2:8" x14ac:dyDescent="0.3">
      <c r="F66">
        <f>AVERAGE(F3:F65)</f>
        <v>4.333333333333333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0778D-1045-44AE-AFC1-BB2759DC091D}">
  <dimension ref="B2:H66"/>
  <sheetViews>
    <sheetView topLeftCell="A21" workbookViewId="0">
      <selection activeCell="F42" sqref="F42"/>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4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4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4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4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4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4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4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4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4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4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4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4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43">
        <v>5</v>
      </c>
      <c r="G64" s="34"/>
      <c r="H64" s="35"/>
    </row>
    <row r="65" spans="2:8" ht="15.6" x14ac:dyDescent="0.3">
      <c r="B65" s="48" t="s">
        <v>257</v>
      </c>
      <c r="C65" s="49" t="s">
        <v>220</v>
      </c>
      <c r="D65" s="49" t="s">
        <v>330</v>
      </c>
      <c r="E65" s="49" t="s">
        <v>334</v>
      </c>
      <c r="F65" s="28">
        <v>5</v>
      </c>
      <c r="G65" s="50"/>
      <c r="H65" s="51"/>
    </row>
    <row r="66" spans="2:8" x14ac:dyDescent="0.3">
      <c r="F66">
        <f>AVERAGE(F3:F65)</f>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4200-D5FB-4292-B64E-8D72B7DD6DB1}">
  <dimension ref="B2:H66"/>
  <sheetViews>
    <sheetView workbookViewId="0">
      <selection activeCell="G25" sqref="G2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4</v>
      </c>
      <c r="G15" s="30" t="s">
        <v>381</v>
      </c>
      <c r="H15" s="31" t="s">
        <v>416</v>
      </c>
    </row>
    <row r="16" spans="2:8" ht="16.2" thickBot="1" x14ac:dyDescent="0.35">
      <c r="B16" s="36" t="s">
        <v>257</v>
      </c>
      <c r="C16" s="37" t="s">
        <v>220</v>
      </c>
      <c r="D16" s="37" t="s">
        <v>259</v>
      </c>
      <c r="E16" s="37" t="s">
        <v>334</v>
      </c>
      <c r="F16" s="37">
        <v>4</v>
      </c>
      <c r="G16" s="38" t="s">
        <v>341</v>
      </c>
      <c r="H16" s="39" t="s">
        <v>416</v>
      </c>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4</v>
      </c>
      <c r="G31" s="30" t="s">
        <v>381</v>
      </c>
      <c r="H31" s="31" t="s">
        <v>429</v>
      </c>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4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4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4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4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4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4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4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4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43">
        <v>4</v>
      </c>
      <c r="G58" s="34" t="s">
        <v>341</v>
      </c>
      <c r="H58" s="35" t="s">
        <v>430</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4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43">
        <v>5</v>
      </c>
      <c r="G64" s="34"/>
      <c r="H64" s="35"/>
    </row>
    <row r="65" spans="2:8" ht="15.6" x14ac:dyDescent="0.3">
      <c r="B65" s="48" t="s">
        <v>257</v>
      </c>
      <c r="C65" s="49" t="s">
        <v>220</v>
      </c>
      <c r="D65" s="49" t="s">
        <v>330</v>
      </c>
      <c r="E65" s="49" t="s">
        <v>334</v>
      </c>
      <c r="F65" s="28">
        <v>5</v>
      </c>
      <c r="G65" s="50"/>
      <c r="H65" s="51"/>
    </row>
    <row r="66" spans="2:8" x14ac:dyDescent="0.3">
      <c r="F66">
        <f>AVERAGE(F3:F65)</f>
        <v>4.6190476190476186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7DAA-1178-4620-A401-E4ACBDDF97F9}">
  <dimension ref="B2:H66"/>
  <sheetViews>
    <sheetView topLeftCell="A29" workbookViewId="0">
      <selection activeCell="F50" sqref="F50:H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0</v>
      </c>
      <c r="G6" s="81" t="s">
        <v>336</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2</v>
      </c>
      <c r="G11" s="76" t="s">
        <v>431</v>
      </c>
      <c r="H11" s="77" t="s">
        <v>432</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0</v>
      </c>
      <c r="G22" s="81" t="s">
        <v>336</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1</v>
      </c>
      <c r="G27" s="76" t="s">
        <v>431</v>
      </c>
      <c r="H27" s="77" t="s">
        <v>432</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90">
        <v>4</v>
      </c>
      <c r="G30" s="91" t="s">
        <v>363</v>
      </c>
      <c r="H30" s="92" t="s">
        <v>375</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2</v>
      </c>
      <c r="G36" s="76" t="s">
        <v>381</v>
      </c>
      <c r="H36" s="74" t="s">
        <v>433</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2</v>
      </c>
      <c r="G39" s="76" t="s">
        <v>381</v>
      </c>
      <c r="H39" s="74" t="s">
        <v>433</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4</v>
      </c>
      <c r="G46" s="34" t="s">
        <v>353</v>
      </c>
      <c r="H46" s="35" t="s">
        <v>434</v>
      </c>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2</v>
      </c>
      <c r="G50" s="81" t="s">
        <v>381</v>
      </c>
      <c r="H50" s="74" t="s">
        <v>433</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2</v>
      </c>
      <c r="G55" s="76" t="s">
        <v>381</v>
      </c>
      <c r="H55" s="74" t="s">
        <v>433</v>
      </c>
    </row>
    <row r="56" spans="2:8" ht="15.6" x14ac:dyDescent="0.3">
      <c r="B56" s="32" t="s">
        <v>229</v>
      </c>
      <c r="C56" s="33" t="s">
        <v>231</v>
      </c>
      <c r="D56" s="33" t="s">
        <v>321</v>
      </c>
      <c r="E56" s="33" t="s">
        <v>334</v>
      </c>
      <c r="F56" s="33">
        <v>4</v>
      </c>
      <c r="G56" s="34" t="s">
        <v>341</v>
      </c>
      <c r="H56" s="35" t="s">
        <v>435</v>
      </c>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4</v>
      </c>
      <c r="G62" s="34" t="s">
        <v>353</v>
      </c>
      <c r="H62" s="35" t="s">
        <v>434</v>
      </c>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4.4761904761904763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58EF-2B7D-47EE-BF58-E627A2B2A109}">
  <dimension ref="B2:H66"/>
  <sheetViews>
    <sheetView topLeftCell="A9" workbookViewId="0">
      <selection activeCell="F50" sqref="F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0</v>
      </c>
      <c r="G6" s="81" t="s">
        <v>336</v>
      </c>
      <c r="H6" s="74" t="s">
        <v>337</v>
      </c>
    </row>
    <row r="7" spans="2:8" ht="15.6" x14ac:dyDescent="0.3">
      <c r="B7" s="32" t="s">
        <v>229</v>
      </c>
      <c r="C7" s="28" t="s">
        <v>231</v>
      </c>
      <c r="D7" s="28" t="s">
        <v>232</v>
      </c>
      <c r="E7" s="28" t="s">
        <v>334</v>
      </c>
      <c r="F7" s="28">
        <v>4</v>
      </c>
      <c r="G7" s="30" t="s">
        <v>436</v>
      </c>
      <c r="H7" s="31"/>
    </row>
    <row r="8" spans="2:8" ht="15.6" x14ac:dyDescent="0.3">
      <c r="B8" s="32" t="s">
        <v>233</v>
      </c>
      <c r="C8" s="33" t="s">
        <v>235</v>
      </c>
      <c r="D8" s="33" t="s">
        <v>236</v>
      </c>
      <c r="E8" s="33" t="s">
        <v>334</v>
      </c>
      <c r="F8" s="33">
        <v>4</v>
      </c>
      <c r="G8" s="34" t="s">
        <v>381</v>
      </c>
      <c r="H8" s="35"/>
    </row>
    <row r="9" spans="2:8" ht="15.6" x14ac:dyDescent="0.3">
      <c r="B9" s="32" t="s">
        <v>237</v>
      </c>
      <c r="C9" s="28" t="s">
        <v>235</v>
      </c>
      <c r="D9" s="28" t="s">
        <v>239</v>
      </c>
      <c r="E9" s="28" t="s">
        <v>334</v>
      </c>
      <c r="F9" s="75">
        <v>0</v>
      </c>
      <c r="G9" s="76" t="s">
        <v>336</v>
      </c>
      <c r="H9" s="74" t="s">
        <v>337</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72">
        <v>4</v>
      </c>
      <c r="G14" s="73" t="s">
        <v>363</v>
      </c>
      <c r="H14" s="74" t="s">
        <v>437</v>
      </c>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0</v>
      </c>
      <c r="G22" s="81" t="s">
        <v>336</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72">
        <v>3</v>
      </c>
      <c r="G24" s="73" t="s">
        <v>438</v>
      </c>
      <c r="H24" s="74" t="s">
        <v>414</v>
      </c>
    </row>
    <row r="25" spans="2:8" ht="15.6" x14ac:dyDescent="0.3">
      <c r="B25" s="32" t="s">
        <v>237</v>
      </c>
      <c r="C25" s="28" t="s">
        <v>235</v>
      </c>
      <c r="D25" s="28" t="s">
        <v>279</v>
      </c>
      <c r="E25" s="28" t="s">
        <v>334</v>
      </c>
      <c r="F25" s="75">
        <v>0</v>
      </c>
      <c r="G25" s="76" t="s">
        <v>336</v>
      </c>
      <c r="H25" s="74" t="s">
        <v>337</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72">
        <v>4</v>
      </c>
      <c r="G30" s="73" t="s">
        <v>363</v>
      </c>
      <c r="H30" s="74"/>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2</v>
      </c>
      <c r="G36" s="76" t="s">
        <v>439</v>
      </c>
      <c r="H36" s="74" t="s">
        <v>414</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76" t="s">
        <v>381</v>
      </c>
      <c r="H39" s="74" t="s">
        <v>414</v>
      </c>
    </row>
    <row r="40" spans="2:8" ht="15.6" x14ac:dyDescent="0.3">
      <c r="B40" s="32" t="s">
        <v>229</v>
      </c>
      <c r="C40" s="33" t="s">
        <v>231</v>
      </c>
      <c r="D40" s="33" t="s">
        <v>305</v>
      </c>
      <c r="E40" s="33" t="s">
        <v>334</v>
      </c>
      <c r="F40" s="33">
        <v>4</v>
      </c>
      <c r="G40" s="34" t="s">
        <v>436</v>
      </c>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5">
        <v>0</v>
      </c>
      <c r="G42" s="76" t="s">
        <v>336</v>
      </c>
      <c r="H42" s="74" t="s">
        <v>337</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4"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5</v>
      </c>
      <c r="G50" s="81" t="s">
        <v>381</v>
      </c>
      <c r="H50" s="74" t="s">
        <v>414</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5</v>
      </c>
      <c r="G55" s="76" t="s">
        <v>381</v>
      </c>
      <c r="H55" s="74" t="s">
        <v>414</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4</v>
      </c>
      <c r="G57" s="30" t="s">
        <v>341</v>
      </c>
      <c r="H57" s="31"/>
    </row>
    <row r="58" spans="2:8" ht="15.6" x14ac:dyDescent="0.3">
      <c r="B58" s="32" t="s">
        <v>237</v>
      </c>
      <c r="C58" s="33" t="s">
        <v>235</v>
      </c>
      <c r="D58" s="33" t="s">
        <v>323</v>
      </c>
      <c r="E58" s="33" t="s">
        <v>334</v>
      </c>
      <c r="F58" s="75">
        <v>0</v>
      </c>
      <c r="G58" s="76" t="s">
        <v>336</v>
      </c>
      <c r="H58" s="74" t="s">
        <v>337</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75">
        <v>2</v>
      </c>
      <c r="G63" s="76" t="s">
        <v>343</v>
      </c>
      <c r="H63" s="74" t="s">
        <v>432</v>
      </c>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4</v>
      </c>
      <c r="G65" s="50" t="s">
        <v>341</v>
      </c>
      <c r="H65" s="51"/>
    </row>
    <row r="66" spans="2:8" x14ac:dyDescent="0.3">
      <c r="F66">
        <f>AVERAGE(F3:F65)</f>
        <v>3.9523809523809526</v>
      </c>
    </row>
  </sheetData>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8FB1-05A2-4106-9876-E5E0CD26F674}">
  <dimension ref="B2:H66"/>
  <sheetViews>
    <sheetView workbookViewId="0">
      <selection activeCell="H25" sqref="H2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1</v>
      </c>
      <c r="G6" s="73" t="s">
        <v>440</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0</v>
      </c>
      <c r="G22" s="76" t="s">
        <v>336</v>
      </c>
      <c r="H22" s="77"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3</v>
      </c>
      <c r="G25" s="76" t="s">
        <v>338</v>
      </c>
      <c r="H25" s="77" t="s">
        <v>441</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4</v>
      </c>
      <c r="G28" s="34" t="s">
        <v>341</v>
      </c>
      <c r="H28" s="35" t="s">
        <v>442</v>
      </c>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4</v>
      </c>
      <c r="G58" s="34" t="s">
        <v>353</v>
      </c>
      <c r="H58" s="35" t="s">
        <v>401</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4</v>
      </c>
      <c r="G65" s="50" t="s">
        <v>341</v>
      </c>
      <c r="H65" s="51" t="s">
        <v>443</v>
      </c>
    </row>
    <row r="66" spans="2:8" x14ac:dyDescent="0.3">
      <c r="F66">
        <f>AVERAGE(F3:F65)</f>
        <v>4.7777777777777777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2EDA-F9C9-4100-A38F-2657F6F38D7E}">
  <dimension ref="B2:H66"/>
  <sheetViews>
    <sheetView workbookViewId="0">
      <selection activeCell="H25" sqref="H2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0</v>
      </c>
      <c r="G6" s="81" t="s">
        <v>336</v>
      </c>
      <c r="H6" s="74" t="s">
        <v>337</v>
      </c>
    </row>
    <row r="7" spans="2:8" ht="15.6" x14ac:dyDescent="0.3">
      <c r="B7" s="32" t="s">
        <v>229</v>
      </c>
      <c r="C7" s="28" t="s">
        <v>231</v>
      </c>
      <c r="D7" s="28" t="s">
        <v>232</v>
      </c>
      <c r="E7" s="28" t="s">
        <v>334</v>
      </c>
      <c r="F7" s="28">
        <v>3</v>
      </c>
      <c r="G7" s="30" t="s">
        <v>341</v>
      </c>
      <c r="H7" s="31" t="s">
        <v>416</v>
      </c>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381</v>
      </c>
      <c r="H9" s="77" t="s">
        <v>416</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4</v>
      </c>
      <c r="G15" s="30" t="s">
        <v>341</v>
      </c>
      <c r="H15" s="31" t="s">
        <v>444</v>
      </c>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0</v>
      </c>
      <c r="G22" s="81" t="s">
        <v>336</v>
      </c>
      <c r="H22" s="74" t="s">
        <v>337</v>
      </c>
    </row>
    <row r="23" spans="2:8" ht="15.6" x14ac:dyDescent="0.3">
      <c r="B23" s="32" t="s">
        <v>229</v>
      </c>
      <c r="C23" s="28" t="s">
        <v>231</v>
      </c>
      <c r="D23" s="28" t="s">
        <v>275</v>
      </c>
      <c r="E23" s="28" t="s">
        <v>334</v>
      </c>
      <c r="F23" s="28">
        <v>4</v>
      </c>
      <c r="G23" s="30" t="s">
        <v>341</v>
      </c>
      <c r="H23" s="31" t="s">
        <v>445</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2</v>
      </c>
      <c r="G25" s="76" t="s">
        <v>381</v>
      </c>
      <c r="H25" s="77" t="s">
        <v>446</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4</v>
      </c>
      <c r="G28" s="34" t="s">
        <v>363</v>
      </c>
      <c r="H28" s="35" t="s">
        <v>447</v>
      </c>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4</v>
      </c>
      <c r="G30" s="34" t="s">
        <v>341</v>
      </c>
      <c r="H30" s="35" t="s">
        <v>448</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4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4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4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4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4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4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5">
        <v>2</v>
      </c>
      <c r="G58" s="76" t="s">
        <v>381</v>
      </c>
      <c r="H58" s="77" t="s">
        <v>446</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4.6349206349206353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9CFE-D800-477D-ACAF-ECBEED63468A}">
  <dimension ref="B2:H66"/>
  <sheetViews>
    <sheetView workbookViewId="0">
      <selection activeCell="E49" sqref="E4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4</v>
      </c>
      <c r="G8" s="34" t="s">
        <v>341</v>
      </c>
      <c r="H8" s="35" t="s">
        <v>449</v>
      </c>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2</v>
      </c>
      <c r="G11" s="76" t="s">
        <v>381</v>
      </c>
      <c r="H11" s="77" t="s">
        <v>450</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80">
        <v>2</v>
      </c>
      <c r="G17" s="81" t="s">
        <v>381</v>
      </c>
      <c r="H17" s="74" t="s">
        <v>433</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2</v>
      </c>
      <c r="G22" s="81" t="s">
        <v>381</v>
      </c>
      <c r="H22" s="74" t="s">
        <v>433</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3</v>
      </c>
      <c r="G25" s="76" t="s">
        <v>341</v>
      </c>
      <c r="H25" s="77" t="s">
        <v>449</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451</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3</v>
      </c>
      <c r="G60" s="73" t="s">
        <v>381</v>
      </c>
      <c r="H60" s="74" t="s">
        <v>452</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4.6984126984126986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9939-B4AA-47C3-B2D6-C9EE77FE9564}">
  <dimension ref="B2:H66"/>
  <sheetViews>
    <sheetView topLeftCell="A38" workbookViewId="0">
      <selection activeCell="F65" sqref="F6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31.2" x14ac:dyDescent="0.3">
      <c r="B3" s="27" t="s">
        <v>214</v>
      </c>
      <c r="C3" s="28" t="s">
        <v>216</v>
      </c>
      <c r="D3" s="29" t="s">
        <v>217</v>
      </c>
      <c r="E3" s="28" t="s">
        <v>334</v>
      </c>
      <c r="F3" s="80">
        <v>4</v>
      </c>
      <c r="G3" s="81" t="s">
        <v>453</v>
      </c>
      <c r="H3" s="81" t="s">
        <v>454</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2</v>
      </c>
      <c r="G6" s="81" t="s">
        <v>455</v>
      </c>
      <c r="H6" s="74" t="s">
        <v>337</v>
      </c>
    </row>
    <row r="7" spans="2:8" ht="15.6" x14ac:dyDescent="0.3">
      <c r="B7" s="32" t="s">
        <v>229</v>
      </c>
      <c r="C7" s="28" t="s">
        <v>231</v>
      </c>
      <c r="D7" s="28" t="s">
        <v>232</v>
      </c>
      <c r="E7" s="28" t="s">
        <v>334</v>
      </c>
      <c r="F7" s="28">
        <v>4</v>
      </c>
      <c r="G7" s="30" t="s">
        <v>456</v>
      </c>
      <c r="H7" s="31" t="s">
        <v>416</v>
      </c>
    </row>
    <row r="8" spans="2:8" ht="15.6" x14ac:dyDescent="0.3">
      <c r="B8" s="32" t="s">
        <v>233</v>
      </c>
      <c r="C8" s="33" t="s">
        <v>235</v>
      </c>
      <c r="D8" s="33" t="s">
        <v>236</v>
      </c>
      <c r="E8" s="33" t="s">
        <v>334</v>
      </c>
      <c r="F8" s="33">
        <v>4</v>
      </c>
      <c r="G8" s="34" t="s">
        <v>341</v>
      </c>
      <c r="H8" s="35" t="s">
        <v>457</v>
      </c>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458</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4</v>
      </c>
      <c r="G18" s="34" t="s">
        <v>363</v>
      </c>
      <c r="H18" s="35" t="s">
        <v>459</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75">
        <v>0</v>
      </c>
      <c r="G21" s="76" t="s">
        <v>458</v>
      </c>
      <c r="H21" s="77" t="s">
        <v>337</v>
      </c>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75">
        <v>3</v>
      </c>
      <c r="G23" s="76" t="s">
        <v>381</v>
      </c>
      <c r="H23" s="77" t="s">
        <v>460</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4</v>
      </c>
      <c r="G25" s="30" t="s">
        <v>363</v>
      </c>
      <c r="H25" s="31" t="s">
        <v>461</v>
      </c>
    </row>
    <row r="26" spans="2:8" ht="15.6" x14ac:dyDescent="0.3">
      <c r="B26" s="32" t="s">
        <v>240</v>
      </c>
      <c r="C26" s="33" t="s">
        <v>220</v>
      </c>
      <c r="D26" s="33" t="s">
        <v>281</v>
      </c>
      <c r="E26" s="33" t="s">
        <v>334</v>
      </c>
      <c r="F26" s="33">
        <v>4</v>
      </c>
      <c r="G26" s="34" t="s">
        <v>462</v>
      </c>
      <c r="H26" s="35" t="s">
        <v>463</v>
      </c>
    </row>
    <row r="27" spans="2:8" ht="15.6" x14ac:dyDescent="0.3">
      <c r="B27" s="32" t="s">
        <v>243</v>
      </c>
      <c r="C27" s="28" t="s">
        <v>235</v>
      </c>
      <c r="D27" s="28" t="s">
        <v>283</v>
      </c>
      <c r="E27" s="28" t="s">
        <v>334</v>
      </c>
      <c r="F27" s="75">
        <v>0</v>
      </c>
      <c r="G27" s="76" t="s">
        <v>458</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5">
        <v>4</v>
      </c>
      <c r="G31" s="76" t="s">
        <v>381</v>
      </c>
      <c r="H31" s="77" t="s">
        <v>464</v>
      </c>
    </row>
    <row r="32" spans="2:8" ht="16.2" thickBot="1" x14ac:dyDescent="0.35">
      <c r="B32" s="36" t="s">
        <v>257</v>
      </c>
      <c r="C32" s="37" t="s">
        <v>220</v>
      </c>
      <c r="D32" s="37" t="s">
        <v>291</v>
      </c>
      <c r="E32" s="37" t="s">
        <v>334</v>
      </c>
      <c r="F32" s="37">
        <v>4</v>
      </c>
      <c r="G32" s="38" t="s">
        <v>462</v>
      </c>
      <c r="H32" s="39" t="s">
        <v>465</v>
      </c>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0</v>
      </c>
      <c r="G36" s="81" t="s">
        <v>466</v>
      </c>
      <c r="H36" s="74" t="s">
        <v>337</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80">
        <v>2</v>
      </c>
      <c r="G39" s="81" t="s">
        <v>455</v>
      </c>
      <c r="H39" s="74" t="s">
        <v>467</v>
      </c>
    </row>
    <row r="40" spans="2:8" ht="15.6" x14ac:dyDescent="0.3">
      <c r="B40" s="32" t="s">
        <v>229</v>
      </c>
      <c r="C40" s="33" t="s">
        <v>231</v>
      </c>
      <c r="D40" s="33" t="s">
        <v>305</v>
      </c>
      <c r="E40" s="33" t="s">
        <v>334</v>
      </c>
      <c r="F40" s="72">
        <v>0</v>
      </c>
      <c r="G40" s="73" t="s">
        <v>468</v>
      </c>
      <c r="H40" s="74" t="s">
        <v>469</v>
      </c>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2">
        <v>0</v>
      </c>
      <c r="G42" s="73" t="s">
        <v>458</v>
      </c>
      <c r="H42" s="74" t="s">
        <v>337</v>
      </c>
    </row>
    <row r="43" spans="2:8" ht="15.6" x14ac:dyDescent="0.3">
      <c r="B43" s="32" t="s">
        <v>240</v>
      </c>
      <c r="C43" s="28" t="s">
        <v>220</v>
      </c>
      <c r="D43" s="28" t="s">
        <v>308</v>
      </c>
      <c r="E43" s="28" t="s">
        <v>334</v>
      </c>
      <c r="F43" s="28"/>
      <c r="G43" s="30"/>
      <c r="H43" s="31"/>
    </row>
    <row r="44" spans="2:8" ht="15.6" x14ac:dyDescent="0.3">
      <c r="B44" s="32" t="s">
        <v>243</v>
      </c>
      <c r="C44" s="33" t="s">
        <v>235</v>
      </c>
      <c r="D44" s="33" t="s">
        <v>309</v>
      </c>
      <c r="E44" s="33" t="s">
        <v>334</v>
      </c>
      <c r="F44" s="72">
        <v>0</v>
      </c>
      <c r="G44" s="73" t="s">
        <v>458</v>
      </c>
      <c r="H44" s="74" t="s">
        <v>337</v>
      </c>
    </row>
    <row r="45" spans="2:8" ht="15.6" x14ac:dyDescent="0.3">
      <c r="B45" s="32" t="s">
        <v>245</v>
      </c>
      <c r="C45" s="28" t="s">
        <v>216</v>
      </c>
      <c r="D45" s="28" t="s">
        <v>310</v>
      </c>
      <c r="E45" s="28" t="s">
        <v>334</v>
      </c>
      <c r="F45" s="28"/>
      <c r="G45" s="30"/>
      <c r="H45" s="31"/>
    </row>
    <row r="46" spans="2:8" ht="15.6" x14ac:dyDescent="0.3">
      <c r="B46" s="32" t="s">
        <v>248</v>
      </c>
      <c r="C46" s="33" t="s">
        <v>340</v>
      </c>
      <c r="D46" s="33" t="s">
        <v>311</v>
      </c>
      <c r="E46" s="33" t="s">
        <v>334</v>
      </c>
      <c r="F46" s="33"/>
      <c r="G46" s="34"/>
      <c r="H46" s="35"/>
    </row>
    <row r="47" spans="2:8" ht="15.6" x14ac:dyDescent="0.3">
      <c r="B47" s="32" t="s">
        <v>252</v>
      </c>
      <c r="C47" s="28" t="s">
        <v>216</v>
      </c>
      <c r="D47" s="28" t="s">
        <v>312</v>
      </c>
      <c r="E47" s="28" t="s">
        <v>334</v>
      </c>
      <c r="F47" s="28"/>
      <c r="G47" s="30"/>
      <c r="H47" s="31"/>
    </row>
    <row r="48" spans="2:8" ht="15.6" x14ac:dyDescent="0.3">
      <c r="B48" s="32" t="s">
        <v>255</v>
      </c>
      <c r="C48" s="33" t="s">
        <v>231</v>
      </c>
      <c r="D48" s="33" t="s">
        <v>313</v>
      </c>
      <c r="E48" s="33" t="s">
        <v>334</v>
      </c>
      <c r="F48" s="33"/>
      <c r="G48" s="34"/>
      <c r="H48" s="35"/>
    </row>
    <row r="49" spans="2:8" ht="16.2" thickBot="1" x14ac:dyDescent="0.35">
      <c r="B49" s="36" t="s">
        <v>257</v>
      </c>
      <c r="C49" s="45" t="s">
        <v>220</v>
      </c>
      <c r="D49" s="45" t="s">
        <v>314</v>
      </c>
      <c r="E49" s="45" t="s">
        <v>334</v>
      </c>
      <c r="F49" s="45">
        <v>4</v>
      </c>
      <c r="G49" s="46" t="s">
        <v>462</v>
      </c>
      <c r="H49" s="47" t="s">
        <v>416</v>
      </c>
    </row>
    <row r="50" spans="2:8" ht="15.6" x14ac:dyDescent="0.3">
      <c r="B50" s="40" t="s">
        <v>214</v>
      </c>
      <c r="C50" s="43" t="s">
        <v>261</v>
      </c>
      <c r="D50" s="43" t="s">
        <v>315</v>
      </c>
      <c r="E50" s="43" t="s">
        <v>334</v>
      </c>
      <c r="F50" s="80">
        <v>0</v>
      </c>
      <c r="G50" s="81" t="s">
        <v>466</v>
      </c>
      <c r="H50" s="74" t="s">
        <v>337</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80">
        <v>2</v>
      </c>
      <c r="G55" s="81" t="s">
        <v>455</v>
      </c>
      <c r="H55" s="74" t="s">
        <v>467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2">
        <v>0</v>
      </c>
      <c r="G58" s="73" t="s">
        <v>458</v>
      </c>
      <c r="H58" s="74" t="s">
        <v>337</v>
      </c>
    </row>
    <row r="59" spans="2:8" ht="15.6" x14ac:dyDescent="0.3">
      <c r="B59" s="32" t="s">
        <v>240</v>
      </c>
      <c r="C59" s="28" t="s">
        <v>220</v>
      </c>
      <c r="D59" s="28" t="s">
        <v>324</v>
      </c>
      <c r="E59" s="28" t="s">
        <v>334</v>
      </c>
      <c r="F59" s="28">
        <v>4</v>
      </c>
      <c r="G59" s="30" t="s">
        <v>381</v>
      </c>
      <c r="H59" s="31" t="s">
        <v>470</v>
      </c>
    </row>
    <row r="60" spans="2:8" ht="15.6" x14ac:dyDescent="0.3">
      <c r="B60" s="32" t="s">
        <v>243</v>
      </c>
      <c r="C60" s="33" t="s">
        <v>231</v>
      </c>
      <c r="D60" s="33" t="s">
        <v>325</v>
      </c>
      <c r="E60" s="33" t="s">
        <v>334</v>
      </c>
      <c r="F60" s="72">
        <v>0</v>
      </c>
      <c r="G60" s="73" t="s">
        <v>458</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102">
        <v>2</v>
      </c>
      <c r="G65" s="103" t="s">
        <v>462</v>
      </c>
      <c r="H65" s="104" t="s">
        <v>471</v>
      </c>
    </row>
    <row r="66" spans="2:8" x14ac:dyDescent="0.3">
      <c r="F66">
        <f>AVERAGE(F3:F65)</f>
        <v>3.7241379310344827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5954-6A81-4BA3-B746-40F3B4E9FEF1}">
  <dimension ref="B2:H66"/>
  <sheetViews>
    <sheetView workbookViewId="0">
      <selection activeCell="F3" sqref="F3:H1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80">
        <v>5</v>
      </c>
      <c r="G3" s="81" t="s">
        <v>472</v>
      </c>
      <c r="H3" s="74" t="s">
        <v>473</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5</v>
      </c>
      <c r="G6" s="81" t="s">
        <v>472</v>
      </c>
      <c r="H6" s="74" t="s">
        <v>473</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381</v>
      </c>
      <c r="H9" s="77" t="s">
        <v>474</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126">
        <v>3</v>
      </c>
      <c r="G16" s="127" t="s">
        <v>341</v>
      </c>
      <c r="H16" s="128" t="s">
        <v>475</v>
      </c>
    </row>
    <row r="17" spans="2:8" ht="15.6" x14ac:dyDescent="0.3">
      <c r="B17" s="40" t="s">
        <v>214</v>
      </c>
      <c r="C17" s="41" t="s">
        <v>261</v>
      </c>
      <c r="D17" s="41" t="s">
        <v>262</v>
      </c>
      <c r="E17" s="41" t="s">
        <v>334</v>
      </c>
      <c r="F17" s="80">
        <v>5</v>
      </c>
      <c r="G17" s="81" t="s">
        <v>472</v>
      </c>
      <c r="H17" s="74" t="s">
        <v>473</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5</v>
      </c>
      <c r="G22" s="81" t="s">
        <v>472</v>
      </c>
      <c r="H22" s="74" t="s">
        <v>473</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4</v>
      </c>
      <c r="G25" s="76" t="s">
        <v>381</v>
      </c>
      <c r="H25" s="77" t="s">
        <v>474</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126">
        <v>3</v>
      </c>
      <c r="G32" s="127" t="s">
        <v>341</v>
      </c>
      <c r="H32" s="128" t="s">
        <v>475</v>
      </c>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5</v>
      </c>
      <c r="G36" s="81" t="s">
        <v>472</v>
      </c>
      <c r="H36" s="74" t="s">
        <v>473</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80">
        <v>5</v>
      </c>
      <c r="G39" s="81" t="s">
        <v>472</v>
      </c>
      <c r="H39" s="74" t="s">
        <v>473</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5">
        <v>4</v>
      </c>
      <c r="G42" s="76" t="s">
        <v>381</v>
      </c>
      <c r="H42" s="77" t="s">
        <v>474</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5</v>
      </c>
      <c r="G50" s="81" t="s">
        <v>472</v>
      </c>
      <c r="H50" s="74" t="s">
        <v>473</v>
      </c>
    </row>
    <row r="51" spans="2:8" ht="15.6" x14ac:dyDescent="0.3">
      <c r="B51" s="32" t="s">
        <v>263</v>
      </c>
      <c r="C51" s="28" t="s">
        <v>235</v>
      </c>
      <c r="D51" s="28" t="s">
        <v>316</v>
      </c>
      <c r="E51" s="28" t="s">
        <v>334</v>
      </c>
      <c r="F51" s="75">
        <v>4</v>
      </c>
      <c r="G51" s="76" t="s">
        <v>476</v>
      </c>
      <c r="H51" s="77" t="s">
        <v>477</v>
      </c>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80">
        <v>5</v>
      </c>
      <c r="G55" s="81" t="s">
        <v>472</v>
      </c>
      <c r="H55" s="74" t="s">
        <v>473</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5">
        <v>4</v>
      </c>
      <c r="G58" s="76" t="s">
        <v>381</v>
      </c>
      <c r="H58" s="77" t="s">
        <v>474</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4.8571428571428568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63A7-10BD-4CD0-95E8-A677E9F29AC2}">
  <dimension ref="B2:H66"/>
  <sheetViews>
    <sheetView topLeftCell="A15" workbookViewId="0">
      <selection activeCell="K15" sqref="K1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80">
        <v>5</v>
      </c>
      <c r="G3" s="81" t="s">
        <v>478</v>
      </c>
      <c r="H3" s="74" t="s">
        <v>473</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80">
        <v>5</v>
      </c>
      <c r="G6" s="81" t="s">
        <v>478</v>
      </c>
      <c r="H6" s="74" t="s">
        <v>473</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5</v>
      </c>
      <c r="G9" s="76" t="s">
        <v>479</v>
      </c>
      <c r="H9" s="77" t="s">
        <v>474</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126">
        <v>5</v>
      </c>
      <c r="G16" s="127" t="s">
        <v>480</v>
      </c>
      <c r="H16" s="128" t="s">
        <v>475</v>
      </c>
    </row>
    <row r="17" spans="2:8" ht="15.6" x14ac:dyDescent="0.3">
      <c r="B17" s="40" t="s">
        <v>214</v>
      </c>
      <c r="C17" s="41" t="s">
        <v>261</v>
      </c>
      <c r="D17" s="41" t="s">
        <v>262</v>
      </c>
      <c r="E17" s="41" t="s">
        <v>334</v>
      </c>
      <c r="F17" s="80">
        <v>5</v>
      </c>
      <c r="G17" s="81" t="s">
        <v>478</v>
      </c>
      <c r="H17" s="74" t="s">
        <v>473</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80">
        <v>5</v>
      </c>
      <c r="G22" s="81" t="s">
        <v>478</v>
      </c>
      <c r="H22" s="74" t="s">
        <v>473</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5</v>
      </c>
      <c r="G25" s="76" t="s">
        <v>479</v>
      </c>
      <c r="H25" s="77" t="s">
        <v>474</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126">
        <v>5</v>
      </c>
      <c r="G32" s="127" t="s">
        <v>480</v>
      </c>
      <c r="H32" s="128" t="s">
        <v>475</v>
      </c>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5</v>
      </c>
      <c r="G36" s="81" t="s">
        <v>478</v>
      </c>
      <c r="H36" s="74" t="s">
        <v>473</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80">
        <v>5</v>
      </c>
      <c r="G39" s="81" t="s">
        <v>478</v>
      </c>
      <c r="H39" s="74" t="s">
        <v>473</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5">
        <v>5</v>
      </c>
      <c r="G42" s="76" t="s">
        <v>479</v>
      </c>
      <c r="H42" s="77" t="s">
        <v>474</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5</v>
      </c>
      <c r="G50" s="81" t="s">
        <v>478</v>
      </c>
      <c r="H50" s="74" t="s">
        <v>473</v>
      </c>
    </row>
    <row r="51" spans="2:8" ht="15.6" x14ac:dyDescent="0.3">
      <c r="B51" s="32" t="s">
        <v>263</v>
      </c>
      <c r="C51" s="28" t="s">
        <v>235</v>
      </c>
      <c r="D51" s="28" t="s">
        <v>316</v>
      </c>
      <c r="E51" s="28" t="s">
        <v>334</v>
      </c>
      <c r="F51" s="75">
        <v>5</v>
      </c>
      <c r="G51" s="76" t="s">
        <v>476</v>
      </c>
      <c r="H51" s="77" t="s">
        <v>477</v>
      </c>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80">
        <v>5</v>
      </c>
      <c r="G55" s="81" t="s">
        <v>478</v>
      </c>
      <c r="H55" s="74" t="s">
        <v>473</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5">
        <v>5</v>
      </c>
      <c r="G58" s="76" t="s">
        <v>479</v>
      </c>
      <c r="H58" s="77" t="s">
        <v>474</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6306-A6A8-4E01-AB0A-785508EEDC8F}">
  <dimension ref="B2:H66"/>
  <sheetViews>
    <sheetView workbookViewId="0">
      <selection activeCell="F8" sqref="F8"/>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4</v>
      </c>
      <c r="G3" s="76" t="s">
        <v>481</v>
      </c>
      <c r="H3" s="77"/>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75">
        <v>4</v>
      </c>
      <c r="G7" s="76" t="s">
        <v>353</v>
      </c>
      <c r="H7" s="77" t="s">
        <v>482</v>
      </c>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75">
        <v>4</v>
      </c>
      <c r="G23" s="76" t="s">
        <v>353</v>
      </c>
      <c r="H23" s="77" t="s">
        <v>482</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80">
        <v>3</v>
      </c>
      <c r="G36" s="81" t="s">
        <v>381</v>
      </c>
      <c r="H36" s="74" t="s">
        <v>483</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3</v>
      </c>
      <c r="G50" s="81" t="s">
        <v>381</v>
      </c>
      <c r="H50" s="74" t="s">
        <v>483</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4.8888888888888893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48F4-C6CE-4547-8288-45A4E21C37C8}">
  <dimension ref="B2:H66"/>
  <sheetViews>
    <sheetView workbookViewId="0">
      <selection activeCell="F16" sqref="F1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75">
        <v>4</v>
      </c>
      <c r="G7" s="76" t="s">
        <v>484</v>
      </c>
      <c r="H7" s="77"/>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2">
        <v>0</v>
      </c>
      <c r="G9" s="73" t="s">
        <v>336</v>
      </c>
      <c r="H9" s="74" t="s">
        <v>337</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2">
        <v>0</v>
      </c>
      <c r="G11" s="73" t="s">
        <v>336</v>
      </c>
      <c r="H11" s="74"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75">
        <v>4</v>
      </c>
      <c r="G13" s="76" t="s">
        <v>381</v>
      </c>
      <c r="H13" s="77" t="s">
        <v>485</v>
      </c>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75">
        <v>4</v>
      </c>
      <c r="G15" s="76" t="s">
        <v>484</v>
      </c>
      <c r="H15" s="77"/>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75">
        <v>4</v>
      </c>
      <c r="G23" s="76" t="s">
        <v>484</v>
      </c>
      <c r="H23" s="77"/>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2">
        <v>0</v>
      </c>
      <c r="G25" s="73" t="s">
        <v>336</v>
      </c>
      <c r="H25" s="74" t="s">
        <v>337</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2">
        <v>0</v>
      </c>
      <c r="G27" s="73" t="s">
        <v>336</v>
      </c>
      <c r="H27" s="74"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5">
        <v>4</v>
      </c>
      <c r="G31" s="76" t="s">
        <v>484</v>
      </c>
      <c r="H31" s="77"/>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41">
        <v>5</v>
      </c>
      <c r="G33" s="42"/>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2">
        <v>0</v>
      </c>
      <c r="G36" s="73" t="s">
        <v>336</v>
      </c>
      <c r="H36" s="74" t="s">
        <v>337</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4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4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2">
        <v>0</v>
      </c>
      <c r="G42" s="73" t="s">
        <v>336</v>
      </c>
      <c r="H42" s="74" t="s">
        <v>337</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2">
        <v>0</v>
      </c>
      <c r="G44" s="73" t="s">
        <v>336</v>
      </c>
      <c r="H44" s="74"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80">
        <v>0</v>
      </c>
      <c r="G50" s="81" t="s">
        <v>336</v>
      </c>
      <c r="H50" s="74" t="s">
        <v>337</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2">
        <v>0</v>
      </c>
      <c r="G58" s="73" t="s">
        <v>336</v>
      </c>
      <c r="H58" s="74" t="s">
        <v>337</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2">
        <v>0</v>
      </c>
      <c r="G60" s="73" t="s">
        <v>336</v>
      </c>
      <c r="H60" s="74"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5</v>
      </c>
      <c r="G65" s="50"/>
      <c r="H65" s="51"/>
    </row>
    <row r="66" spans="2:8" x14ac:dyDescent="0.3">
      <c r="F66">
        <f>AVERAGE(F3:F65)</f>
        <v>4.1269841269841274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EE98-CC49-4523-A611-2CC83E196989}">
  <dimension ref="B2:H66"/>
  <sheetViews>
    <sheetView workbookViewId="0">
      <selection activeCell="G16" sqref="G1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353</v>
      </c>
      <c r="H9" s="77" t="s">
        <v>401</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72">
        <v>4</v>
      </c>
      <c r="G20" s="73" t="s">
        <v>363</v>
      </c>
      <c r="H20" s="74" t="s">
        <v>486</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75">
        <v>4</v>
      </c>
      <c r="G23" s="76" t="s">
        <v>353</v>
      </c>
      <c r="H23" s="77" t="s">
        <v>401</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4</v>
      </c>
      <c r="G25" s="76" t="s">
        <v>341</v>
      </c>
      <c r="H25" s="77" t="s">
        <v>449</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75">
        <v>4</v>
      </c>
      <c r="G29" s="76" t="s">
        <v>341</v>
      </c>
      <c r="H29" s="77" t="s">
        <v>487</v>
      </c>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5">
        <v>4</v>
      </c>
      <c r="G31" s="76" t="s">
        <v>341</v>
      </c>
      <c r="H31" s="77" t="s">
        <v>488</v>
      </c>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4.9047619047619051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02C8C-0143-492A-B56C-CFF0807BD6ED}">
  <dimension ref="B2:H66"/>
  <sheetViews>
    <sheetView topLeftCell="A38" workbookViewId="0">
      <selection activeCell="G64" sqref="G64"/>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5">
        <v>0</v>
      </c>
      <c r="G6" s="76" t="s">
        <v>336</v>
      </c>
      <c r="H6" s="77"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4</v>
      </c>
      <c r="G20" s="34" t="s">
        <v>338</v>
      </c>
      <c r="H20" s="35" t="s">
        <v>489</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0</v>
      </c>
      <c r="G22" s="76" t="s">
        <v>336</v>
      </c>
      <c r="H22" s="77"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0</v>
      </c>
      <c r="G39" s="76" t="s">
        <v>336</v>
      </c>
      <c r="H39" s="77" t="s">
        <v>337</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75">
        <v>4</v>
      </c>
      <c r="G49" s="76" t="s">
        <v>490</v>
      </c>
      <c r="H49" s="77" t="s">
        <v>401</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0</v>
      </c>
      <c r="G55" s="76" t="s">
        <v>336</v>
      </c>
      <c r="H55" s="77" t="s">
        <v>337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75">
        <v>4</v>
      </c>
      <c r="G65" s="76" t="s">
        <v>490</v>
      </c>
      <c r="H65" s="77" t="s">
        <v>401</v>
      </c>
    </row>
    <row r="66" spans="2:8" x14ac:dyDescent="0.3">
      <c r="F66">
        <f>AVERAGE(F3:F65)</f>
        <v>4.3174603174603172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7F0D-A0F8-4340-A700-C16DA7198CEF}">
  <dimension ref="B2:H66"/>
  <sheetViews>
    <sheetView topLeftCell="A38" workbookViewId="0">
      <selection activeCell="G62" sqref="G62"/>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75">
        <v>4</v>
      </c>
      <c r="G7" s="76" t="s">
        <v>381</v>
      </c>
      <c r="H7" s="77" t="s">
        <v>491</v>
      </c>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75">
        <v>4</v>
      </c>
      <c r="G23" s="76" t="s">
        <v>381</v>
      </c>
      <c r="H23" s="77" t="s">
        <v>491</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126">
        <v>4</v>
      </c>
      <c r="G32" s="127" t="s">
        <v>341</v>
      </c>
      <c r="H32" s="128" t="s">
        <v>449</v>
      </c>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75">
        <v>4</v>
      </c>
      <c r="G53" s="76" t="s">
        <v>382</v>
      </c>
      <c r="H53" s="77" t="s">
        <v>492</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4.9365079365079367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91B2-7D3C-467B-B5B0-5AA8A6CDE55E}">
  <dimension ref="B2:H66"/>
  <sheetViews>
    <sheetView workbookViewId="0">
      <selection activeCell="G48" sqref="G48"/>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B08F-F058-42F4-8E7C-43232AFC2BEC}">
  <dimension ref="B2:H66"/>
  <sheetViews>
    <sheetView topLeftCell="A34" workbookViewId="0">
      <selection activeCell="F65" sqref="F6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75">
        <v>4</v>
      </c>
      <c r="G41" s="76" t="s">
        <v>381</v>
      </c>
      <c r="H41" s="77" t="s">
        <v>493</v>
      </c>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75">
        <v>3</v>
      </c>
      <c r="G49" s="76" t="s">
        <v>494</v>
      </c>
      <c r="H49" s="77" t="s">
        <v>495</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75">
        <v>4</v>
      </c>
      <c r="G53" s="76" t="s">
        <v>353</v>
      </c>
      <c r="H53" s="77" t="s">
        <v>496</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75">
        <v>4</v>
      </c>
      <c r="G57" s="76" t="s">
        <v>381</v>
      </c>
      <c r="H57" s="77" t="s">
        <v>493</v>
      </c>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75">
        <v>3</v>
      </c>
      <c r="G65" s="76" t="s">
        <v>494</v>
      </c>
      <c r="H65" s="77" t="s">
        <v>495</v>
      </c>
    </row>
    <row r="66" spans="2:8" x14ac:dyDescent="0.3">
      <c r="F66">
        <f>AVERAGE(F3:F65)</f>
        <v>4.8888888888888893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1353-1959-43D4-ABE9-68B7AEB94273}">
  <sheetPr>
    <tabColor rgb="FFFF0000"/>
  </sheetPr>
  <dimension ref="B2:H66"/>
  <sheetViews>
    <sheetView topLeftCell="A6" workbookViewId="0">
      <selection activeCell="G35" sqref="G3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c r="G3" s="30"/>
      <c r="H3" s="31"/>
    </row>
    <row r="4" spans="2:8" ht="15.6" x14ac:dyDescent="0.3">
      <c r="B4" s="32" t="s">
        <v>218</v>
      </c>
      <c r="C4" s="33" t="s">
        <v>220</v>
      </c>
      <c r="D4" s="33" t="s">
        <v>221</v>
      </c>
      <c r="E4" s="33" t="s">
        <v>334</v>
      </c>
      <c r="F4" s="33"/>
      <c r="G4" s="34"/>
      <c r="H4" s="35"/>
    </row>
    <row r="5" spans="2:8" ht="15.6" x14ac:dyDescent="0.3">
      <c r="B5" s="32" t="s">
        <v>222</v>
      </c>
      <c r="C5" s="28" t="s">
        <v>224</v>
      </c>
      <c r="D5" s="28" t="s">
        <v>225</v>
      </c>
      <c r="E5" s="28" t="s">
        <v>334</v>
      </c>
      <c r="F5" s="28"/>
      <c r="G5" s="30"/>
      <c r="H5" s="31"/>
    </row>
    <row r="6" spans="2:8" ht="15.6" x14ac:dyDescent="0.3">
      <c r="B6" s="32" t="s">
        <v>226</v>
      </c>
      <c r="C6" s="33" t="s">
        <v>216</v>
      </c>
      <c r="D6" s="33" t="s">
        <v>228</v>
      </c>
      <c r="E6" s="33" t="s">
        <v>334</v>
      </c>
      <c r="F6" s="33"/>
      <c r="G6" s="34"/>
      <c r="H6" s="35"/>
    </row>
    <row r="7" spans="2:8" ht="15.6" x14ac:dyDescent="0.3">
      <c r="B7" s="32" t="s">
        <v>229</v>
      </c>
      <c r="C7" s="28" t="s">
        <v>231</v>
      </c>
      <c r="D7" s="28" t="s">
        <v>232</v>
      </c>
      <c r="E7" s="28" t="s">
        <v>334</v>
      </c>
      <c r="F7" s="28"/>
      <c r="G7" s="30"/>
      <c r="H7" s="31"/>
    </row>
    <row r="8" spans="2:8" ht="15.6" x14ac:dyDescent="0.3">
      <c r="B8" s="32" t="s">
        <v>233</v>
      </c>
      <c r="C8" s="33" t="s">
        <v>235</v>
      </c>
      <c r="D8" s="33" t="s">
        <v>236</v>
      </c>
      <c r="E8" s="33" t="s">
        <v>334</v>
      </c>
      <c r="F8" s="33"/>
      <c r="G8" s="34"/>
      <c r="H8" s="35"/>
    </row>
    <row r="9" spans="2:8" ht="15.6" x14ac:dyDescent="0.3">
      <c r="B9" s="32" t="s">
        <v>237</v>
      </c>
      <c r="C9" s="28" t="s">
        <v>235</v>
      </c>
      <c r="D9" s="28" t="s">
        <v>239</v>
      </c>
      <c r="E9" s="28" t="s">
        <v>334</v>
      </c>
      <c r="F9" s="28"/>
      <c r="G9" s="30"/>
      <c r="H9" s="31"/>
    </row>
    <row r="10" spans="2:8" ht="15.6" x14ac:dyDescent="0.3">
      <c r="B10" s="32" t="s">
        <v>240</v>
      </c>
      <c r="C10" s="33" t="s">
        <v>220</v>
      </c>
      <c r="D10" s="33" t="s">
        <v>242</v>
      </c>
      <c r="E10" s="33" t="s">
        <v>334</v>
      </c>
      <c r="F10" s="33"/>
      <c r="G10" s="34"/>
      <c r="H10" s="35"/>
    </row>
    <row r="11" spans="2:8" ht="15.6" x14ac:dyDescent="0.3">
      <c r="B11" s="32" t="s">
        <v>243</v>
      </c>
      <c r="C11" s="28" t="s">
        <v>235</v>
      </c>
      <c r="D11" s="28" t="s">
        <v>244</v>
      </c>
      <c r="E11" s="28" t="s">
        <v>334</v>
      </c>
      <c r="F11" s="28"/>
      <c r="G11" s="30"/>
      <c r="H11" s="31"/>
    </row>
    <row r="12" spans="2:8" ht="15.6" x14ac:dyDescent="0.3">
      <c r="B12" s="32" t="s">
        <v>245</v>
      </c>
      <c r="C12" s="33" t="s">
        <v>216</v>
      </c>
      <c r="D12" s="33" t="s">
        <v>247</v>
      </c>
      <c r="E12" s="33" t="s">
        <v>334</v>
      </c>
      <c r="F12" s="33"/>
      <c r="G12" s="34"/>
      <c r="H12" s="35"/>
    </row>
    <row r="13" spans="2:8" ht="15.6" x14ac:dyDescent="0.3">
      <c r="B13" s="32" t="s">
        <v>248</v>
      </c>
      <c r="C13" s="28" t="s">
        <v>340</v>
      </c>
      <c r="D13" s="28" t="s">
        <v>251</v>
      </c>
      <c r="E13" s="28" t="s">
        <v>334</v>
      </c>
      <c r="F13" s="28"/>
      <c r="G13" s="30"/>
      <c r="H13" s="31"/>
    </row>
    <row r="14" spans="2:8" ht="15.6" x14ac:dyDescent="0.3">
      <c r="B14" s="32" t="s">
        <v>252</v>
      </c>
      <c r="C14" s="33" t="s">
        <v>216</v>
      </c>
      <c r="D14" s="33" t="s">
        <v>254</v>
      </c>
      <c r="E14" s="33" t="s">
        <v>334</v>
      </c>
      <c r="F14" s="33"/>
      <c r="G14" s="34"/>
      <c r="H14" s="35"/>
    </row>
    <row r="15" spans="2:8" ht="15.6" x14ac:dyDescent="0.3">
      <c r="B15" s="32" t="s">
        <v>255</v>
      </c>
      <c r="C15" s="28" t="s">
        <v>231</v>
      </c>
      <c r="D15" s="28" t="s">
        <v>256</v>
      </c>
      <c r="E15" s="28" t="s">
        <v>334</v>
      </c>
      <c r="F15" s="28"/>
      <c r="G15" s="30"/>
      <c r="H15" s="31"/>
    </row>
    <row r="16" spans="2:8" ht="16.2" thickBot="1" x14ac:dyDescent="0.35">
      <c r="B16" s="36" t="s">
        <v>257</v>
      </c>
      <c r="C16" s="37" t="s">
        <v>220</v>
      </c>
      <c r="D16" s="37" t="s">
        <v>259</v>
      </c>
      <c r="E16" s="37" t="s">
        <v>334</v>
      </c>
      <c r="F16" s="37"/>
      <c r="G16" s="38"/>
      <c r="H16" s="39"/>
    </row>
    <row r="17" spans="2:8" ht="15.6" x14ac:dyDescent="0.3">
      <c r="B17" s="40" t="s">
        <v>214</v>
      </c>
      <c r="C17" s="41" t="s">
        <v>261</v>
      </c>
      <c r="D17" s="41" t="s">
        <v>262</v>
      </c>
      <c r="E17" s="41" t="s">
        <v>334</v>
      </c>
      <c r="F17" s="70"/>
      <c r="G17" s="69"/>
      <c r="H17" s="71"/>
    </row>
    <row r="18" spans="2:8" ht="15.6" x14ac:dyDescent="0.3">
      <c r="B18" s="32" t="s">
        <v>263</v>
      </c>
      <c r="C18" s="33" t="s">
        <v>235</v>
      </c>
      <c r="D18" s="33" t="s">
        <v>265</v>
      </c>
      <c r="E18" s="33" t="s">
        <v>334</v>
      </c>
      <c r="F18" s="33"/>
      <c r="G18" s="34"/>
      <c r="H18" s="35"/>
    </row>
    <row r="19" spans="2:8" ht="15.6" x14ac:dyDescent="0.3">
      <c r="B19" s="32" t="s">
        <v>222</v>
      </c>
      <c r="C19" s="28" t="s">
        <v>224</v>
      </c>
      <c r="D19" s="28" t="s">
        <v>266</v>
      </c>
      <c r="E19" s="28" t="s">
        <v>334</v>
      </c>
      <c r="F19" s="28"/>
      <c r="G19" s="30"/>
      <c r="H19" s="31"/>
    </row>
    <row r="20" spans="2:8" ht="15.6" x14ac:dyDescent="0.3">
      <c r="B20" s="32" t="s">
        <v>267</v>
      </c>
      <c r="C20" s="33" t="s">
        <v>231</v>
      </c>
      <c r="D20" s="33" t="s">
        <v>269</v>
      </c>
      <c r="E20" s="33" t="s">
        <v>334</v>
      </c>
      <c r="F20" s="72">
        <v>4</v>
      </c>
      <c r="G20" s="73" t="s">
        <v>381</v>
      </c>
      <c r="H20" s="74" t="s">
        <v>497</v>
      </c>
    </row>
    <row r="21" spans="2:8" ht="15.6" x14ac:dyDescent="0.3">
      <c r="B21" s="32" t="s">
        <v>270</v>
      </c>
      <c r="C21" s="28" t="s">
        <v>231</v>
      </c>
      <c r="D21" s="28" t="s">
        <v>272</v>
      </c>
      <c r="E21" s="28" t="s">
        <v>334</v>
      </c>
      <c r="F21" s="28"/>
      <c r="G21" s="30"/>
      <c r="H21" s="31"/>
    </row>
    <row r="22" spans="2:8" ht="15.6" x14ac:dyDescent="0.3">
      <c r="B22" s="32" t="s">
        <v>226</v>
      </c>
      <c r="C22" s="33" t="s">
        <v>261</v>
      </c>
      <c r="D22" s="33" t="s">
        <v>274</v>
      </c>
      <c r="E22" s="33" t="s">
        <v>334</v>
      </c>
      <c r="F22" s="33"/>
      <c r="G22" s="34"/>
      <c r="H22" s="35"/>
    </row>
    <row r="23" spans="2:8" ht="15.6" x14ac:dyDescent="0.3">
      <c r="B23" s="32" t="s">
        <v>229</v>
      </c>
      <c r="C23" s="28" t="s">
        <v>231</v>
      </c>
      <c r="D23" s="28" t="s">
        <v>275</v>
      </c>
      <c r="E23" s="28" t="s">
        <v>334</v>
      </c>
      <c r="F23" s="28"/>
      <c r="G23" s="30"/>
      <c r="H23" s="31"/>
    </row>
    <row r="24" spans="2:8" ht="15.6" x14ac:dyDescent="0.3">
      <c r="B24" s="32" t="s">
        <v>233</v>
      </c>
      <c r="C24" s="33" t="s">
        <v>235</v>
      </c>
      <c r="D24" s="33" t="s">
        <v>277</v>
      </c>
      <c r="E24" s="33" t="s">
        <v>334</v>
      </c>
      <c r="F24" s="33"/>
      <c r="G24" s="34"/>
      <c r="H24" s="35"/>
    </row>
    <row r="25" spans="2:8" ht="15.6" x14ac:dyDescent="0.3">
      <c r="B25" s="32" t="s">
        <v>237</v>
      </c>
      <c r="C25" s="28" t="s">
        <v>235</v>
      </c>
      <c r="D25" s="28" t="s">
        <v>279</v>
      </c>
      <c r="E25" s="28" t="s">
        <v>334</v>
      </c>
      <c r="F25" s="75">
        <v>0</v>
      </c>
      <c r="G25" s="76" t="s">
        <v>336</v>
      </c>
      <c r="H25" s="77" t="s">
        <v>337</v>
      </c>
    </row>
    <row r="26" spans="2:8" ht="15.6" x14ac:dyDescent="0.3">
      <c r="B26" s="32" t="s">
        <v>240</v>
      </c>
      <c r="C26" s="33" t="s">
        <v>220</v>
      </c>
      <c r="D26" s="33" t="s">
        <v>281</v>
      </c>
      <c r="E26" s="33" t="s">
        <v>334</v>
      </c>
      <c r="F26" s="33"/>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72">
        <v>4</v>
      </c>
      <c r="G28" s="73" t="s">
        <v>381</v>
      </c>
      <c r="H28" s="74" t="s">
        <v>497</v>
      </c>
    </row>
    <row r="29" spans="2:8" ht="15.6" x14ac:dyDescent="0.3">
      <c r="B29" s="32" t="s">
        <v>248</v>
      </c>
      <c r="C29" s="28" t="s">
        <v>335</v>
      </c>
      <c r="D29" s="28" t="s">
        <v>287</v>
      </c>
      <c r="E29" s="28" t="s">
        <v>334</v>
      </c>
      <c r="F29" s="28"/>
      <c r="G29" s="30"/>
      <c r="H29" s="31"/>
    </row>
    <row r="30" spans="2:8" ht="15.6" x14ac:dyDescent="0.3">
      <c r="B30" s="32" t="s">
        <v>252</v>
      </c>
      <c r="C30" s="33" t="s">
        <v>261</v>
      </c>
      <c r="D30" s="33" t="s">
        <v>288</v>
      </c>
      <c r="E30" s="33" t="s">
        <v>334</v>
      </c>
      <c r="F30" s="72">
        <v>4</v>
      </c>
      <c r="G30" s="73" t="s">
        <v>381</v>
      </c>
      <c r="H30" s="74" t="s">
        <v>497</v>
      </c>
    </row>
    <row r="31" spans="2:8" ht="15.6" x14ac:dyDescent="0.3">
      <c r="B31" s="32" t="s">
        <v>255</v>
      </c>
      <c r="C31" s="28" t="s">
        <v>231</v>
      </c>
      <c r="D31" s="28" t="s">
        <v>289</v>
      </c>
      <c r="E31" s="28" t="s">
        <v>334</v>
      </c>
      <c r="F31" s="28"/>
      <c r="G31" s="30"/>
      <c r="H31" s="31"/>
    </row>
    <row r="32" spans="2:8" ht="16.2" thickBot="1" x14ac:dyDescent="0.35">
      <c r="B32" s="36" t="s">
        <v>257</v>
      </c>
      <c r="C32" s="37" t="s">
        <v>220</v>
      </c>
      <c r="D32" s="37" t="s">
        <v>291</v>
      </c>
      <c r="E32" s="37" t="s">
        <v>334</v>
      </c>
      <c r="F32" s="126">
        <v>4</v>
      </c>
      <c r="G32" s="127" t="s">
        <v>381</v>
      </c>
      <c r="H32" s="128" t="s">
        <v>497</v>
      </c>
    </row>
    <row r="33" spans="2:8" ht="15.6" x14ac:dyDescent="0.3">
      <c r="B33" s="40" t="s">
        <v>292</v>
      </c>
      <c r="C33" s="28" t="s">
        <v>231</v>
      </c>
      <c r="D33" s="41" t="s">
        <v>294</v>
      </c>
      <c r="E33" s="41" t="s">
        <v>334</v>
      </c>
      <c r="F33" s="70"/>
      <c r="G33" s="69"/>
      <c r="H33" s="71"/>
    </row>
    <row r="34" spans="2:8" ht="15.6" x14ac:dyDescent="0.3">
      <c r="B34" s="32" t="s">
        <v>295</v>
      </c>
      <c r="C34" s="33" t="s">
        <v>231</v>
      </c>
      <c r="D34" s="33" t="s">
        <v>297</v>
      </c>
      <c r="E34" s="33" t="s">
        <v>334</v>
      </c>
      <c r="F34" s="33"/>
      <c r="G34" s="34"/>
      <c r="H34" s="35"/>
    </row>
    <row r="35" spans="2:8" ht="16.2" thickBot="1" x14ac:dyDescent="0.35">
      <c r="B35" s="36" t="s">
        <v>298</v>
      </c>
      <c r="C35" s="28" t="s">
        <v>231</v>
      </c>
      <c r="D35" s="45" t="s">
        <v>300</v>
      </c>
      <c r="E35" s="45" t="s">
        <v>334</v>
      </c>
      <c r="F35" s="45"/>
      <c r="G35" s="46"/>
      <c r="H35" s="47"/>
    </row>
    <row r="36" spans="2:8" ht="15.6" x14ac:dyDescent="0.3">
      <c r="B36" s="40" t="s">
        <v>214</v>
      </c>
      <c r="C36" s="33" t="s">
        <v>216</v>
      </c>
      <c r="D36" s="43" t="s">
        <v>301</v>
      </c>
      <c r="E36" s="43" t="s">
        <v>334</v>
      </c>
      <c r="F36" s="129"/>
      <c r="G36" s="130"/>
      <c r="H36" s="131"/>
    </row>
    <row r="37" spans="2:8" ht="15.6" x14ac:dyDescent="0.3">
      <c r="B37" s="32" t="s">
        <v>218</v>
      </c>
      <c r="C37" s="28" t="s">
        <v>220</v>
      </c>
      <c r="D37" s="28" t="s">
        <v>302</v>
      </c>
      <c r="E37" s="28" t="s">
        <v>334</v>
      </c>
      <c r="F37" s="28"/>
      <c r="G37" s="30"/>
      <c r="H37" s="31"/>
    </row>
    <row r="38" spans="2:8" ht="15.6" x14ac:dyDescent="0.3">
      <c r="B38" s="32" t="s">
        <v>222</v>
      </c>
      <c r="C38" s="33" t="s">
        <v>224</v>
      </c>
      <c r="D38" s="33" t="s">
        <v>303</v>
      </c>
      <c r="E38" s="33" t="s">
        <v>334</v>
      </c>
      <c r="F38" s="33"/>
      <c r="G38" s="34"/>
      <c r="H38" s="35"/>
    </row>
    <row r="39" spans="2:8" ht="15.6" x14ac:dyDescent="0.3">
      <c r="B39" s="32" t="s">
        <v>226</v>
      </c>
      <c r="C39" s="28" t="s">
        <v>216</v>
      </c>
      <c r="D39" s="28" t="s">
        <v>304</v>
      </c>
      <c r="E39" s="28" t="s">
        <v>334</v>
      </c>
      <c r="F39" s="28"/>
      <c r="G39" s="30"/>
      <c r="H39" s="31"/>
    </row>
    <row r="40" spans="2:8" ht="15.6" x14ac:dyDescent="0.3">
      <c r="B40" s="32" t="s">
        <v>229</v>
      </c>
      <c r="C40" s="33" t="s">
        <v>231</v>
      </c>
      <c r="D40" s="33" t="s">
        <v>305</v>
      </c>
      <c r="E40" s="33" t="s">
        <v>334</v>
      </c>
      <c r="F40" s="33"/>
      <c r="G40" s="34"/>
      <c r="H40" s="35"/>
    </row>
    <row r="41" spans="2:8" ht="15.6" x14ac:dyDescent="0.3">
      <c r="B41" s="32" t="s">
        <v>233</v>
      </c>
      <c r="C41" s="28" t="s">
        <v>235</v>
      </c>
      <c r="D41" s="28" t="s">
        <v>306</v>
      </c>
      <c r="E41" s="28" t="s">
        <v>334</v>
      </c>
      <c r="F41" s="28"/>
      <c r="G41" s="30"/>
      <c r="H41" s="31"/>
    </row>
    <row r="42" spans="2:8" ht="15.6" x14ac:dyDescent="0.3">
      <c r="B42" s="32" t="s">
        <v>237</v>
      </c>
      <c r="C42" s="33" t="s">
        <v>235</v>
      </c>
      <c r="D42" s="33" t="s">
        <v>307</v>
      </c>
      <c r="E42" s="33" t="s">
        <v>334</v>
      </c>
      <c r="F42" s="33"/>
      <c r="G42" s="34"/>
      <c r="H42" s="35"/>
    </row>
    <row r="43" spans="2:8" ht="15.6" x14ac:dyDescent="0.3">
      <c r="B43" s="32" t="s">
        <v>240</v>
      </c>
      <c r="C43" s="28" t="s">
        <v>220</v>
      </c>
      <c r="D43" s="28" t="s">
        <v>308</v>
      </c>
      <c r="E43" s="28" t="s">
        <v>334</v>
      </c>
      <c r="F43" s="28"/>
      <c r="G43" s="30"/>
      <c r="H43" s="31"/>
    </row>
    <row r="44" spans="2:8" ht="15.6" x14ac:dyDescent="0.3">
      <c r="B44" s="32" t="s">
        <v>243</v>
      </c>
      <c r="C44" s="33" t="s">
        <v>235</v>
      </c>
      <c r="D44" s="33" t="s">
        <v>309</v>
      </c>
      <c r="E44" s="33" t="s">
        <v>334</v>
      </c>
      <c r="F44" s="33"/>
      <c r="G44" s="34"/>
      <c r="H44" s="35"/>
    </row>
    <row r="45" spans="2:8" ht="15.6" x14ac:dyDescent="0.3">
      <c r="B45" s="32" t="s">
        <v>245</v>
      </c>
      <c r="C45" s="28" t="s">
        <v>216</v>
      </c>
      <c r="D45" s="28" t="s">
        <v>310</v>
      </c>
      <c r="E45" s="28" t="s">
        <v>334</v>
      </c>
      <c r="F45" s="28"/>
      <c r="G45" s="30"/>
      <c r="H45" s="31"/>
    </row>
    <row r="46" spans="2:8" ht="15.6" x14ac:dyDescent="0.3">
      <c r="B46" s="32" t="s">
        <v>248</v>
      </c>
      <c r="C46" s="33" t="s">
        <v>340</v>
      </c>
      <c r="D46" s="33" t="s">
        <v>311</v>
      </c>
      <c r="E46" s="33" t="s">
        <v>334</v>
      </c>
      <c r="F46" s="33"/>
      <c r="G46" s="34"/>
      <c r="H46" s="35"/>
    </row>
    <row r="47" spans="2:8" ht="15.6" x14ac:dyDescent="0.3">
      <c r="B47" s="32" t="s">
        <v>252</v>
      </c>
      <c r="C47" s="28" t="s">
        <v>216</v>
      </c>
      <c r="D47" s="28" t="s">
        <v>312</v>
      </c>
      <c r="E47" s="28" t="s">
        <v>334</v>
      </c>
      <c r="F47" s="28"/>
      <c r="G47" s="30"/>
      <c r="H47" s="31"/>
    </row>
    <row r="48" spans="2:8" ht="15.6" x14ac:dyDescent="0.3">
      <c r="B48" s="32" t="s">
        <v>255</v>
      </c>
      <c r="C48" s="33" t="s">
        <v>231</v>
      </c>
      <c r="D48" s="33" t="s">
        <v>313</v>
      </c>
      <c r="E48" s="33" t="s">
        <v>334</v>
      </c>
      <c r="F48" s="33"/>
      <c r="G48" s="34"/>
      <c r="H48" s="35"/>
    </row>
    <row r="49" spans="2:8" ht="16.2" thickBot="1" x14ac:dyDescent="0.35">
      <c r="B49" s="36" t="s">
        <v>257</v>
      </c>
      <c r="C49" s="45" t="s">
        <v>220</v>
      </c>
      <c r="D49" s="45" t="s">
        <v>314</v>
      </c>
      <c r="E49" s="45" t="s">
        <v>334</v>
      </c>
      <c r="F49" s="45"/>
      <c r="G49" s="46"/>
      <c r="H49" s="47"/>
    </row>
    <row r="50" spans="2:8" ht="15.6" x14ac:dyDescent="0.3">
      <c r="B50" s="40" t="s">
        <v>214</v>
      </c>
      <c r="C50" s="43" t="s">
        <v>261</v>
      </c>
      <c r="D50" s="43" t="s">
        <v>315</v>
      </c>
      <c r="E50" s="43" t="s">
        <v>334</v>
      </c>
      <c r="F50" s="129"/>
      <c r="G50" s="130"/>
      <c r="H50" s="131"/>
    </row>
    <row r="51" spans="2:8" ht="15.6" x14ac:dyDescent="0.3">
      <c r="B51" s="32" t="s">
        <v>263</v>
      </c>
      <c r="C51" s="28" t="s">
        <v>235</v>
      </c>
      <c r="D51" s="28" t="s">
        <v>316</v>
      </c>
      <c r="E51" s="28" t="s">
        <v>334</v>
      </c>
      <c r="F51" s="28"/>
      <c r="G51" s="30"/>
      <c r="H51" s="31"/>
    </row>
    <row r="52" spans="2:8" ht="15.6" x14ac:dyDescent="0.3">
      <c r="B52" s="32" t="s">
        <v>222</v>
      </c>
      <c r="C52" s="33" t="s">
        <v>224</v>
      </c>
      <c r="D52" s="33" t="s">
        <v>317</v>
      </c>
      <c r="E52" s="33" t="s">
        <v>334</v>
      </c>
      <c r="F52" s="33"/>
      <c r="G52" s="34"/>
      <c r="H52" s="35"/>
    </row>
    <row r="53" spans="2:8" ht="15.6" x14ac:dyDescent="0.3">
      <c r="B53" s="32" t="s">
        <v>267</v>
      </c>
      <c r="C53" s="28" t="s">
        <v>231</v>
      </c>
      <c r="D53" s="28" t="s">
        <v>318</v>
      </c>
      <c r="E53" s="28" t="s">
        <v>334</v>
      </c>
      <c r="F53" s="28"/>
      <c r="G53" s="30"/>
      <c r="H53" s="31"/>
    </row>
    <row r="54" spans="2:8" ht="15.6" x14ac:dyDescent="0.3">
      <c r="B54" s="32" t="s">
        <v>270</v>
      </c>
      <c r="C54" s="33" t="s">
        <v>231</v>
      </c>
      <c r="D54" s="33" t="s">
        <v>319</v>
      </c>
      <c r="E54" s="33" t="s">
        <v>334</v>
      </c>
      <c r="F54" s="33"/>
      <c r="G54" s="34"/>
      <c r="H54" s="35"/>
    </row>
    <row r="55" spans="2:8" ht="15.6" x14ac:dyDescent="0.3">
      <c r="B55" s="32" t="s">
        <v>226</v>
      </c>
      <c r="C55" s="28" t="s">
        <v>261</v>
      </c>
      <c r="D55" s="28" t="s">
        <v>320</v>
      </c>
      <c r="E55" s="28" t="s">
        <v>334</v>
      </c>
      <c r="F55" s="28"/>
      <c r="G55" s="30"/>
      <c r="H55" s="31"/>
    </row>
    <row r="56" spans="2:8" ht="15.6" x14ac:dyDescent="0.3">
      <c r="B56" s="32" t="s">
        <v>229</v>
      </c>
      <c r="C56" s="33" t="s">
        <v>231</v>
      </c>
      <c r="D56" s="33" t="s">
        <v>321</v>
      </c>
      <c r="E56" s="33" t="s">
        <v>334</v>
      </c>
      <c r="F56" s="33"/>
      <c r="G56" s="34"/>
      <c r="H56" s="35"/>
    </row>
    <row r="57" spans="2:8" ht="15.6" x14ac:dyDescent="0.3">
      <c r="B57" s="32" t="s">
        <v>233</v>
      </c>
      <c r="C57" s="28" t="s">
        <v>235</v>
      </c>
      <c r="D57" s="28" t="s">
        <v>322</v>
      </c>
      <c r="E57" s="28" t="s">
        <v>334</v>
      </c>
      <c r="F57" s="28"/>
      <c r="G57" s="30"/>
      <c r="H57" s="31"/>
    </row>
    <row r="58" spans="2:8" ht="15.6" x14ac:dyDescent="0.3">
      <c r="B58" s="32" t="s">
        <v>237</v>
      </c>
      <c r="C58" s="33" t="s">
        <v>235</v>
      </c>
      <c r="D58" s="33" t="s">
        <v>323</v>
      </c>
      <c r="E58" s="33" t="s">
        <v>334</v>
      </c>
      <c r="F58" s="33"/>
      <c r="G58" s="34"/>
      <c r="H58" s="35"/>
    </row>
    <row r="59" spans="2:8" ht="15.6" x14ac:dyDescent="0.3">
      <c r="B59" s="32" t="s">
        <v>240</v>
      </c>
      <c r="C59" s="28" t="s">
        <v>220</v>
      </c>
      <c r="D59" s="28" t="s">
        <v>324</v>
      </c>
      <c r="E59" s="28" t="s">
        <v>334</v>
      </c>
      <c r="F59" s="28"/>
      <c r="G59" s="30"/>
      <c r="H59" s="31"/>
    </row>
    <row r="60" spans="2:8" ht="15.6" x14ac:dyDescent="0.3">
      <c r="B60" s="32" t="s">
        <v>243</v>
      </c>
      <c r="C60" s="33" t="s">
        <v>231</v>
      </c>
      <c r="D60" s="33" t="s">
        <v>325</v>
      </c>
      <c r="E60" s="33" t="s">
        <v>334</v>
      </c>
      <c r="F60" s="33"/>
      <c r="G60" s="34"/>
      <c r="H60" s="35"/>
    </row>
    <row r="61" spans="2:8" ht="15.6" x14ac:dyDescent="0.3">
      <c r="B61" s="32" t="s">
        <v>245</v>
      </c>
      <c r="C61" s="28" t="s">
        <v>261</v>
      </c>
      <c r="D61" s="28" t="s">
        <v>326</v>
      </c>
      <c r="E61" s="28" t="s">
        <v>334</v>
      </c>
      <c r="F61" s="28"/>
      <c r="G61" s="30"/>
      <c r="H61" s="31"/>
    </row>
    <row r="62" spans="2:8" ht="15.6" x14ac:dyDescent="0.3">
      <c r="B62" s="32" t="s">
        <v>248</v>
      </c>
      <c r="C62" s="33" t="s">
        <v>335</v>
      </c>
      <c r="D62" s="33" t="s">
        <v>327</v>
      </c>
      <c r="E62" s="33" t="s">
        <v>334</v>
      </c>
      <c r="F62" s="33"/>
      <c r="G62" s="34"/>
      <c r="H62" s="35"/>
    </row>
    <row r="63" spans="2:8" ht="15.6" x14ac:dyDescent="0.3">
      <c r="B63" s="32" t="s">
        <v>252</v>
      </c>
      <c r="C63" s="28" t="s">
        <v>261</v>
      </c>
      <c r="D63" s="28" t="s">
        <v>328</v>
      </c>
      <c r="E63" s="28" t="s">
        <v>334</v>
      </c>
      <c r="F63" s="28"/>
      <c r="G63" s="30"/>
      <c r="H63" s="31"/>
    </row>
    <row r="64" spans="2:8" ht="15.6" x14ac:dyDescent="0.3">
      <c r="B64" s="32" t="s">
        <v>255</v>
      </c>
      <c r="C64" s="33" t="s">
        <v>231</v>
      </c>
      <c r="D64" s="33" t="s">
        <v>329</v>
      </c>
      <c r="E64" s="33" t="s">
        <v>334</v>
      </c>
      <c r="F64" s="33"/>
      <c r="G64" s="34"/>
      <c r="H64" s="35"/>
    </row>
    <row r="65" spans="2:8" ht="15.6" x14ac:dyDescent="0.3">
      <c r="B65" s="48" t="s">
        <v>257</v>
      </c>
      <c r="C65" s="49" t="s">
        <v>220</v>
      </c>
      <c r="D65" s="49" t="s">
        <v>330</v>
      </c>
      <c r="E65" s="49" t="s">
        <v>334</v>
      </c>
      <c r="F65" s="28"/>
      <c r="G65" s="30"/>
      <c r="H65" s="31"/>
    </row>
    <row r="66" spans="2:8" x14ac:dyDescent="0.3">
      <c r="F66">
        <f>AVERAGE(F3:F65)</f>
        <v>2.6666666666666665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198D-7565-4110-903D-A8F29F558604}">
  <dimension ref="B2:H66"/>
  <sheetViews>
    <sheetView topLeftCell="A34" zoomScale="80" zoomScaleNormal="80" workbookViewId="0">
      <selection activeCell="G20" sqref="G2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8.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4</v>
      </c>
      <c r="G11" s="76" t="s">
        <v>338</v>
      </c>
      <c r="H11" s="77" t="s">
        <v>498</v>
      </c>
    </row>
    <row r="12" spans="2:8" ht="15.6" x14ac:dyDescent="0.3">
      <c r="B12" s="32" t="s">
        <v>245</v>
      </c>
      <c r="C12" s="33" t="s">
        <v>216</v>
      </c>
      <c r="D12" s="33" t="s">
        <v>247</v>
      </c>
      <c r="E12" s="33" t="s">
        <v>334</v>
      </c>
      <c r="F12" s="33">
        <v>5</v>
      </c>
      <c r="G12" s="34"/>
      <c r="H12" s="35"/>
    </row>
    <row r="13" spans="2:8" ht="15.6" x14ac:dyDescent="0.3">
      <c r="B13" s="32" t="s">
        <v>248</v>
      </c>
      <c r="C13" s="28" t="s">
        <v>250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4</v>
      </c>
      <c r="G15" s="30" t="s">
        <v>338</v>
      </c>
      <c r="H15" s="31" t="s">
        <v>499</v>
      </c>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5</v>
      </c>
      <c r="G17" s="42"/>
      <c r="H17" s="3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72">
        <v>3</v>
      </c>
      <c r="G20" s="73" t="s">
        <v>381</v>
      </c>
      <c r="H20" s="74" t="s">
        <v>500</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5</v>
      </c>
      <c r="G22" s="44"/>
      <c r="H22" s="35"/>
    </row>
    <row r="23" spans="2:8" ht="15.6" x14ac:dyDescent="0.3">
      <c r="B23" s="32" t="s">
        <v>229</v>
      </c>
      <c r="C23" s="28" t="s">
        <v>231</v>
      </c>
      <c r="D23" s="28" t="s">
        <v>275</v>
      </c>
      <c r="E23" s="28" t="s">
        <v>334</v>
      </c>
      <c r="F23" s="75">
        <v>3</v>
      </c>
      <c r="G23" s="76" t="s">
        <v>341</v>
      </c>
      <c r="H23" s="77" t="s">
        <v>501</v>
      </c>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4</v>
      </c>
      <c r="G25" s="76" t="s">
        <v>381</v>
      </c>
      <c r="H25" s="77" t="s">
        <v>502</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72">
        <v>4</v>
      </c>
      <c r="G28" s="73" t="s">
        <v>381</v>
      </c>
      <c r="H28" s="74" t="s">
        <v>503</v>
      </c>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5">
        <v>4</v>
      </c>
      <c r="G31" s="76" t="s">
        <v>341</v>
      </c>
      <c r="H31" s="77" t="s">
        <v>504</v>
      </c>
    </row>
    <row r="32" spans="2:8" ht="16.2" thickBot="1" x14ac:dyDescent="0.35">
      <c r="B32" s="36" t="s">
        <v>257</v>
      </c>
      <c r="C32" s="37" t="s">
        <v>220</v>
      </c>
      <c r="D32" s="37" t="s">
        <v>291</v>
      </c>
      <c r="E32" s="37" t="s">
        <v>334</v>
      </c>
      <c r="F32" s="126">
        <v>4</v>
      </c>
      <c r="G32" s="127" t="s">
        <v>341</v>
      </c>
      <c r="H32" s="128" t="s">
        <v>505</v>
      </c>
    </row>
    <row r="33" spans="2:8" ht="15.6" x14ac:dyDescent="0.3">
      <c r="B33" s="40" t="s">
        <v>292</v>
      </c>
      <c r="C33" s="28" t="s">
        <v>231</v>
      </c>
      <c r="D33" s="41" t="s">
        <v>294</v>
      </c>
      <c r="E33" s="41" t="s">
        <v>334</v>
      </c>
      <c r="F33" s="41">
        <v>5</v>
      </c>
      <c r="G33" s="69"/>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5</v>
      </c>
      <c r="G36" s="44"/>
      <c r="H36" s="35"/>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250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43">
        <v>5</v>
      </c>
      <c r="G50" s="44"/>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72">
        <v>3</v>
      </c>
      <c r="G56" s="73" t="s">
        <v>338</v>
      </c>
      <c r="H56" s="74" t="s">
        <v>506</v>
      </c>
    </row>
    <row r="57" spans="2:8" ht="15.6" x14ac:dyDescent="0.3">
      <c r="B57" s="32" t="s">
        <v>233</v>
      </c>
      <c r="C57" s="28" t="s">
        <v>235</v>
      </c>
      <c r="D57" s="28" t="s">
        <v>322</v>
      </c>
      <c r="E57" s="28" t="s">
        <v>334</v>
      </c>
      <c r="F57" s="28">
        <v>4</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72">
        <v>3</v>
      </c>
      <c r="G62" s="73" t="s">
        <v>353</v>
      </c>
      <c r="H62" s="74" t="s">
        <v>507</v>
      </c>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72">
        <v>2</v>
      </c>
      <c r="G64" s="73" t="s">
        <v>338</v>
      </c>
      <c r="H64" s="74" t="s">
        <v>508</v>
      </c>
    </row>
    <row r="65" spans="2:8" ht="15.6" x14ac:dyDescent="0.3">
      <c r="B65" s="48" t="s">
        <v>257</v>
      </c>
      <c r="C65" s="49" t="s">
        <v>220</v>
      </c>
      <c r="D65" s="49" t="s">
        <v>330</v>
      </c>
      <c r="E65" s="49" t="s">
        <v>334</v>
      </c>
      <c r="F65" s="102">
        <v>3</v>
      </c>
      <c r="G65" s="103" t="s">
        <v>341</v>
      </c>
      <c r="H65" s="104"/>
    </row>
    <row r="66" spans="2:8" x14ac:dyDescent="0.3">
      <c r="F66">
        <f>AVERAGE(F3:F65)</f>
        <v>4.6825396825396828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3F98-CD9D-46CE-8E46-66823112EFA9}">
  <dimension ref="B2:H66"/>
  <sheetViews>
    <sheetView topLeftCell="A6" workbookViewId="0">
      <selection activeCell="F36" sqref="F3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509</v>
      </c>
      <c r="H9" s="77" t="s">
        <v>432</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4</v>
      </c>
      <c r="G25" s="76" t="s">
        <v>509</v>
      </c>
      <c r="H25" s="77" t="s">
        <v>432</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41">
        <v>0</v>
      </c>
      <c r="G36" s="142" t="s">
        <v>336</v>
      </c>
      <c r="H36" s="143" t="s">
        <v>337</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41">
        <v>0</v>
      </c>
      <c r="G42" s="142" t="s">
        <v>336</v>
      </c>
      <c r="H42" s="143" t="s">
        <v>337</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41">
        <v>0</v>
      </c>
      <c r="G44" s="142" t="s">
        <v>336</v>
      </c>
      <c r="H44" s="143"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41">
        <v>0</v>
      </c>
      <c r="G50" s="142" t="s">
        <v>336</v>
      </c>
      <c r="H50" s="143" t="s">
        <v>337</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41">
        <v>0</v>
      </c>
      <c r="G58" s="142" t="s">
        <v>336</v>
      </c>
      <c r="H58" s="143" t="s">
        <v>337</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41">
        <v>0</v>
      </c>
      <c r="G60" s="142" t="s">
        <v>336</v>
      </c>
      <c r="H60" s="143"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4.333333333333333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6905-8D91-4303-BAE6-2D5E34F42F51}">
  <dimension ref="B2:H66"/>
  <sheetViews>
    <sheetView topLeftCell="A40" workbookViewId="0">
      <selection activeCell="F45" sqref="F45:H4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75">
        <v>4</v>
      </c>
      <c r="G5" s="76" t="s">
        <v>510</v>
      </c>
      <c r="H5" s="77" t="s">
        <v>511</v>
      </c>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510</v>
      </c>
      <c r="H9" s="77" t="s">
        <v>511</v>
      </c>
    </row>
    <row r="10" spans="2:8" ht="15.6" x14ac:dyDescent="0.3">
      <c r="B10" s="32" t="s">
        <v>240</v>
      </c>
      <c r="C10" s="33" t="s">
        <v>220</v>
      </c>
      <c r="D10" s="33" t="s">
        <v>242</v>
      </c>
      <c r="E10" s="33" t="s">
        <v>334</v>
      </c>
      <c r="F10" s="75">
        <v>4</v>
      </c>
      <c r="G10" s="76" t="s">
        <v>510</v>
      </c>
      <c r="H10" s="77" t="s">
        <v>511</v>
      </c>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75">
        <v>4</v>
      </c>
      <c r="G12" s="76" t="s">
        <v>510</v>
      </c>
      <c r="H12" s="77" t="s">
        <v>511</v>
      </c>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75">
        <v>4</v>
      </c>
      <c r="G16" s="76" t="s">
        <v>510</v>
      </c>
      <c r="H16" s="77" t="s">
        <v>511</v>
      </c>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70">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70">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70">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0">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0">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70">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0">
        <v>5</v>
      </c>
      <c r="G31" s="30"/>
      <c r="H31" s="31"/>
    </row>
    <row r="32" spans="2:8" ht="16.2" thickBot="1" x14ac:dyDescent="0.35">
      <c r="B32" s="36" t="s">
        <v>257</v>
      </c>
      <c r="C32" s="37" t="s">
        <v>220</v>
      </c>
      <c r="D32" s="37" t="s">
        <v>291</v>
      </c>
      <c r="E32" s="37" t="s">
        <v>334</v>
      </c>
      <c r="F32" s="33">
        <v>5</v>
      </c>
      <c r="G32" s="38"/>
      <c r="H32" s="39"/>
    </row>
    <row r="33" spans="2:8" ht="15.6" x14ac:dyDescent="0.3">
      <c r="B33" s="40" t="s">
        <v>292</v>
      </c>
      <c r="C33" s="28" t="s">
        <v>231</v>
      </c>
      <c r="D33" s="41" t="s">
        <v>294</v>
      </c>
      <c r="E33" s="41" t="s">
        <v>334</v>
      </c>
      <c r="F33" s="70"/>
      <c r="G33" s="69"/>
      <c r="H33" s="71"/>
    </row>
    <row r="34" spans="2:8" ht="15.6" x14ac:dyDescent="0.3">
      <c r="B34" s="32" t="s">
        <v>295</v>
      </c>
      <c r="C34" s="33" t="s">
        <v>231</v>
      </c>
      <c r="D34" s="33" t="s">
        <v>297</v>
      </c>
      <c r="E34" s="33" t="s">
        <v>334</v>
      </c>
      <c r="F34" s="33"/>
      <c r="G34" s="34"/>
      <c r="H34" s="35"/>
    </row>
    <row r="35" spans="2:8" ht="16.2" thickBot="1" x14ac:dyDescent="0.35">
      <c r="B35" s="36" t="s">
        <v>298</v>
      </c>
      <c r="C35" s="28" t="s">
        <v>231</v>
      </c>
      <c r="D35" s="45" t="s">
        <v>300</v>
      </c>
      <c r="E35" s="45" t="s">
        <v>334</v>
      </c>
      <c r="F35" s="45"/>
      <c r="G35" s="46"/>
      <c r="H35" s="47"/>
    </row>
    <row r="36" spans="2:8" ht="15.6" x14ac:dyDescent="0.3">
      <c r="B36" s="40" t="s">
        <v>214</v>
      </c>
      <c r="C36" s="33" t="s">
        <v>216</v>
      </c>
      <c r="D36" s="43" t="s">
        <v>301</v>
      </c>
      <c r="E36" s="43" t="s">
        <v>334</v>
      </c>
      <c r="F36" s="129"/>
      <c r="G36" s="130"/>
      <c r="H36" s="131"/>
    </row>
    <row r="37" spans="2:8" ht="15.6" x14ac:dyDescent="0.3">
      <c r="B37" s="32" t="s">
        <v>218</v>
      </c>
      <c r="C37" s="28" t="s">
        <v>220</v>
      </c>
      <c r="D37" s="28" t="s">
        <v>302</v>
      </c>
      <c r="E37" s="28" t="s">
        <v>334</v>
      </c>
      <c r="F37" s="28"/>
      <c r="G37" s="30"/>
      <c r="H37" s="31"/>
    </row>
    <row r="38" spans="2:8" ht="15.6" x14ac:dyDescent="0.3">
      <c r="B38" s="32" t="s">
        <v>222</v>
      </c>
      <c r="C38" s="33" t="s">
        <v>224</v>
      </c>
      <c r="D38" s="33" t="s">
        <v>303</v>
      </c>
      <c r="E38" s="33" t="s">
        <v>334</v>
      </c>
      <c r="F38" s="33"/>
      <c r="G38" s="34"/>
      <c r="H38" s="35"/>
    </row>
    <row r="39" spans="2:8" ht="15.6" x14ac:dyDescent="0.3">
      <c r="B39" s="32" t="s">
        <v>226</v>
      </c>
      <c r="C39" s="28" t="s">
        <v>216</v>
      </c>
      <c r="D39" s="28" t="s">
        <v>304</v>
      </c>
      <c r="E39" s="28" t="s">
        <v>334</v>
      </c>
      <c r="F39" s="28"/>
      <c r="G39" s="30"/>
      <c r="H39" s="31"/>
    </row>
    <row r="40" spans="2:8" ht="15.6" x14ac:dyDescent="0.3">
      <c r="B40" s="32" t="s">
        <v>229</v>
      </c>
      <c r="C40" s="33" t="s">
        <v>231</v>
      </c>
      <c r="D40" s="33" t="s">
        <v>305</v>
      </c>
      <c r="E40" s="33" t="s">
        <v>334</v>
      </c>
      <c r="F40" s="33"/>
      <c r="G40" s="34"/>
      <c r="H40" s="35"/>
    </row>
    <row r="41" spans="2:8" ht="15.6" x14ac:dyDescent="0.3">
      <c r="B41" s="32" t="s">
        <v>233</v>
      </c>
      <c r="C41" s="28" t="s">
        <v>235</v>
      </c>
      <c r="D41" s="28" t="s">
        <v>306</v>
      </c>
      <c r="E41" s="28" t="s">
        <v>334</v>
      </c>
      <c r="F41" s="75">
        <v>4</v>
      </c>
      <c r="G41" s="76" t="s">
        <v>510</v>
      </c>
      <c r="H41" s="77" t="s">
        <v>512</v>
      </c>
    </row>
    <row r="42" spans="2:8" ht="15.6" x14ac:dyDescent="0.3">
      <c r="B42" s="32" t="s">
        <v>237</v>
      </c>
      <c r="C42" s="33" t="s">
        <v>235</v>
      </c>
      <c r="D42" s="33" t="s">
        <v>307</v>
      </c>
      <c r="E42" s="33" t="s">
        <v>334</v>
      </c>
      <c r="F42" s="75">
        <v>4</v>
      </c>
      <c r="G42" s="76" t="s">
        <v>510</v>
      </c>
      <c r="H42" s="77" t="s">
        <v>511</v>
      </c>
    </row>
    <row r="43" spans="2:8" ht="15.6" x14ac:dyDescent="0.3">
      <c r="B43" s="32" t="s">
        <v>240</v>
      </c>
      <c r="C43" s="28" t="s">
        <v>220</v>
      </c>
      <c r="D43" s="28" t="s">
        <v>308</v>
      </c>
      <c r="E43" s="28" t="s">
        <v>334</v>
      </c>
      <c r="F43" s="75">
        <v>4</v>
      </c>
      <c r="G43" s="76" t="s">
        <v>510</v>
      </c>
      <c r="H43" s="77" t="s">
        <v>511</v>
      </c>
    </row>
    <row r="44" spans="2:8" ht="15.6" x14ac:dyDescent="0.3">
      <c r="B44" s="32" t="s">
        <v>243</v>
      </c>
      <c r="C44" s="33" t="s">
        <v>235</v>
      </c>
      <c r="D44" s="33" t="s">
        <v>309</v>
      </c>
      <c r="E44" s="33" t="s">
        <v>334</v>
      </c>
      <c r="F44" s="33"/>
      <c r="G44" s="34"/>
      <c r="H44" s="35"/>
    </row>
    <row r="45" spans="2:8" ht="15.6" x14ac:dyDescent="0.3">
      <c r="B45" s="32" t="s">
        <v>245</v>
      </c>
      <c r="C45" s="28" t="s">
        <v>216</v>
      </c>
      <c r="D45" s="28" t="s">
        <v>310</v>
      </c>
      <c r="E45" s="28" t="s">
        <v>334</v>
      </c>
      <c r="F45" s="75">
        <v>4</v>
      </c>
      <c r="G45" s="76" t="s">
        <v>510</v>
      </c>
      <c r="H45" s="77" t="s">
        <v>511</v>
      </c>
    </row>
    <row r="46" spans="2:8" ht="15.6" x14ac:dyDescent="0.3">
      <c r="B46" s="32" t="s">
        <v>248</v>
      </c>
      <c r="C46" s="33" t="s">
        <v>340</v>
      </c>
      <c r="D46" s="33" t="s">
        <v>311</v>
      </c>
      <c r="E46" s="33" t="s">
        <v>334</v>
      </c>
      <c r="F46" s="33"/>
      <c r="G46" s="34"/>
      <c r="H46" s="35"/>
    </row>
    <row r="47" spans="2:8" ht="15.6" x14ac:dyDescent="0.3">
      <c r="B47" s="32" t="s">
        <v>252</v>
      </c>
      <c r="C47" s="28" t="s">
        <v>216</v>
      </c>
      <c r="D47" s="28" t="s">
        <v>312</v>
      </c>
      <c r="E47" s="28" t="s">
        <v>334</v>
      </c>
      <c r="F47" s="28"/>
      <c r="G47" s="30"/>
      <c r="H47" s="31"/>
    </row>
    <row r="48" spans="2:8" ht="15.6" x14ac:dyDescent="0.3">
      <c r="B48" s="32" t="s">
        <v>255</v>
      </c>
      <c r="C48" s="33" t="s">
        <v>231</v>
      </c>
      <c r="D48" s="33" t="s">
        <v>313</v>
      </c>
      <c r="E48" s="33" t="s">
        <v>334</v>
      </c>
      <c r="F48" s="33"/>
      <c r="G48" s="34"/>
      <c r="H48" s="35"/>
    </row>
    <row r="49" spans="2:8" ht="16.2" thickBot="1" x14ac:dyDescent="0.35">
      <c r="B49" s="36" t="s">
        <v>257</v>
      </c>
      <c r="C49" s="45" t="s">
        <v>220</v>
      </c>
      <c r="D49" s="45" t="s">
        <v>314</v>
      </c>
      <c r="E49" s="45" t="s">
        <v>334</v>
      </c>
      <c r="F49" s="75">
        <v>4</v>
      </c>
      <c r="G49" s="76" t="s">
        <v>510</v>
      </c>
      <c r="H49" s="77" t="s">
        <v>511</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4.8039215686274508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25BA-9B37-4A53-AD1A-3F31D380DCDB}">
  <sheetPr>
    <tabColor theme="8"/>
  </sheetPr>
  <dimension ref="B2:H66"/>
  <sheetViews>
    <sheetView zoomScale="80" zoomScaleNormal="80" workbookViewId="0">
      <selection activeCell="G4" sqref="G4"/>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4</v>
      </c>
      <c r="G4" s="42" t="s">
        <v>513</v>
      </c>
      <c r="H4" s="35"/>
    </row>
    <row r="5" spans="2:8" ht="15.6" x14ac:dyDescent="0.3">
      <c r="B5" s="32" t="s">
        <v>222</v>
      </c>
      <c r="C5" s="28" t="s">
        <v>224</v>
      </c>
      <c r="D5" s="28" t="s">
        <v>225</v>
      </c>
      <c r="E5" s="28" t="s">
        <v>334</v>
      </c>
      <c r="F5" s="28">
        <v>4</v>
      </c>
      <c r="G5" s="30" t="s">
        <v>513</v>
      </c>
      <c r="H5" s="31" t="s">
        <v>514</v>
      </c>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3</v>
      </c>
      <c r="G7" s="30" t="s">
        <v>515</v>
      </c>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3</v>
      </c>
      <c r="G9" s="30" t="s">
        <v>516</v>
      </c>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4</v>
      </c>
      <c r="G11" s="30" t="s">
        <v>517</v>
      </c>
      <c r="H11" s="31"/>
    </row>
    <row r="12" spans="2:8" ht="15.6" x14ac:dyDescent="0.3">
      <c r="B12" s="32" t="s">
        <v>245</v>
      </c>
      <c r="C12" s="33" t="s">
        <v>216</v>
      </c>
      <c r="D12" s="33" t="s">
        <v>247</v>
      </c>
      <c r="E12" s="33" t="s">
        <v>334</v>
      </c>
      <c r="F12" s="33">
        <v>5</v>
      </c>
      <c r="G12" s="34"/>
      <c r="H12" s="35"/>
    </row>
    <row r="13" spans="2:8" ht="15.6" x14ac:dyDescent="0.3">
      <c r="B13" s="32" t="s">
        <v>248</v>
      </c>
      <c r="C13" s="28" t="s">
        <v>250</v>
      </c>
      <c r="D13" s="28" t="s">
        <v>251</v>
      </c>
      <c r="E13" s="28" t="s">
        <v>334</v>
      </c>
      <c r="F13" s="28">
        <v>5</v>
      </c>
      <c r="G13" s="30"/>
      <c r="H13" s="31"/>
    </row>
    <row r="14" spans="2:8" ht="15.6" x14ac:dyDescent="0.3">
      <c r="B14" s="32" t="s">
        <v>252</v>
      </c>
      <c r="C14" s="33" t="s">
        <v>216</v>
      </c>
      <c r="D14" s="33" t="s">
        <v>254</v>
      </c>
      <c r="E14" s="33" t="s">
        <v>334</v>
      </c>
      <c r="F14" s="33">
        <v>4</v>
      </c>
      <c r="G14" s="34" t="s">
        <v>518</v>
      </c>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41">
        <v>4</v>
      </c>
      <c r="G17" s="42" t="s">
        <v>518</v>
      </c>
      <c r="H17" s="31"/>
    </row>
    <row r="18" spans="2:8" ht="15.6" x14ac:dyDescent="0.3">
      <c r="B18" s="32" t="s">
        <v>263</v>
      </c>
      <c r="C18" s="33" t="s">
        <v>235</v>
      </c>
      <c r="D18" s="33" t="s">
        <v>265</v>
      </c>
      <c r="E18" s="33" t="s">
        <v>334</v>
      </c>
      <c r="F18" s="33">
        <v>4</v>
      </c>
      <c r="G18" s="34" t="s">
        <v>518</v>
      </c>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43">
        <v>4</v>
      </c>
      <c r="G22" s="44" t="s">
        <v>519</v>
      </c>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4</v>
      </c>
      <c r="G28" s="34" t="s">
        <v>520</v>
      </c>
      <c r="H28" s="35"/>
    </row>
    <row r="29" spans="2:8" ht="15.6" x14ac:dyDescent="0.3">
      <c r="B29" s="32" t="s">
        <v>248</v>
      </c>
      <c r="C29" s="28" t="s">
        <v>335</v>
      </c>
      <c r="D29" s="28" t="s">
        <v>287</v>
      </c>
      <c r="E29" s="28" t="s">
        <v>334</v>
      </c>
      <c r="F29" s="28">
        <v>4</v>
      </c>
      <c r="G29" s="30" t="s">
        <v>520</v>
      </c>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3</v>
      </c>
      <c r="G32" s="38" t="s">
        <v>518</v>
      </c>
      <c r="H32" s="39"/>
    </row>
    <row r="33" spans="2:8" ht="15.6" x14ac:dyDescent="0.3">
      <c r="B33" s="40" t="s">
        <v>292</v>
      </c>
      <c r="C33" s="28" t="s">
        <v>231</v>
      </c>
      <c r="D33" s="41" t="s">
        <v>294</v>
      </c>
      <c r="E33" s="41" t="s">
        <v>334</v>
      </c>
      <c r="F33" s="41">
        <v>4</v>
      </c>
      <c r="G33" s="42" t="s">
        <v>513</v>
      </c>
      <c r="H33" s="3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43">
        <v>4</v>
      </c>
      <c r="G36" s="44" t="s">
        <v>518</v>
      </c>
      <c r="H36" s="35" t="s">
        <v>521</v>
      </c>
    </row>
    <row r="37" spans="2:8" ht="15.6" x14ac:dyDescent="0.3">
      <c r="B37" s="32" t="s">
        <v>218</v>
      </c>
      <c r="C37" s="28" t="s">
        <v>220</v>
      </c>
      <c r="D37" s="28" t="s">
        <v>302</v>
      </c>
      <c r="E37" s="28" t="s">
        <v>334</v>
      </c>
      <c r="F37" s="28">
        <v>4</v>
      </c>
      <c r="G37" s="42" t="s">
        <v>513</v>
      </c>
      <c r="H37" s="31"/>
    </row>
    <row r="38" spans="2:8" ht="15.6" x14ac:dyDescent="0.3">
      <c r="B38" s="32" t="s">
        <v>222</v>
      </c>
      <c r="C38" s="33" t="s">
        <v>224</v>
      </c>
      <c r="D38" s="33" t="s">
        <v>303</v>
      </c>
      <c r="E38" s="33" t="s">
        <v>334</v>
      </c>
      <c r="F38" s="33">
        <v>4</v>
      </c>
      <c r="G38" s="34" t="s">
        <v>513</v>
      </c>
      <c r="H38" s="31" t="s">
        <v>514</v>
      </c>
    </row>
    <row r="39" spans="2:8" ht="15.6" x14ac:dyDescent="0.3">
      <c r="B39" s="32" t="s">
        <v>226</v>
      </c>
      <c r="C39" s="28" t="s">
        <v>216</v>
      </c>
      <c r="D39" s="28" t="s">
        <v>304</v>
      </c>
      <c r="E39" s="28" t="s">
        <v>334</v>
      </c>
      <c r="F39" s="28">
        <v>4</v>
      </c>
      <c r="G39" s="30" t="s">
        <v>518</v>
      </c>
      <c r="H39" s="31" t="s">
        <v>521</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3</v>
      </c>
      <c r="G42" s="34" t="s">
        <v>518</v>
      </c>
      <c r="H42" s="35" t="s">
        <v>522</v>
      </c>
    </row>
    <row r="43" spans="2:8" ht="15.6" x14ac:dyDescent="0.3">
      <c r="B43" s="32" t="s">
        <v>240</v>
      </c>
      <c r="C43" s="28" t="s">
        <v>220</v>
      </c>
      <c r="D43" s="28" t="s">
        <v>308</v>
      </c>
      <c r="E43" s="28" t="s">
        <v>334</v>
      </c>
      <c r="F43" s="28">
        <v>4</v>
      </c>
      <c r="G43" s="30" t="s">
        <v>523</v>
      </c>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250</v>
      </c>
      <c r="D46" s="33" t="s">
        <v>311</v>
      </c>
      <c r="E46" s="33" t="s">
        <v>334</v>
      </c>
      <c r="F46" s="33">
        <v>5</v>
      </c>
      <c r="G46" s="34"/>
      <c r="H46" s="35"/>
    </row>
    <row r="47" spans="2:8" ht="15.6" x14ac:dyDescent="0.3">
      <c r="B47" s="32" t="s">
        <v>252</v>
      </c>
      <c r="C47" s="28" t="s">
        <v>216</v>
      </c>
      <c r="D47" s="28" t="s">
        <v>312</v>
      </c>
      <c r="E47" s="28" t="s">
        <v>334</v>
      </c>
      <c r="F47" s="28">
        <v>4</v>
      </c>
      <c r="G47" s="30" t="s">
        <v>518</v>
      </c>
      <c r="H47" s="31" t="s">
        <v>524</v>
      </c>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4</v>
      </c>
      <c r="G49" s="46" t="s">
        <v>518</v>
      </c>
      <c r="H49" s="47"/>
    </row>
    <row r="50" spans="2:8" ht="15.6" x14ac:dyDescent="0.3">
      <c r="B50" s="40" t="s">
        <v>214</v>
      </c>
      <c r="C50" s="43" t="s">
        <v>261</v>
      </c>
      <c r="D50" s="43" t="s">
        <v>315</v>
      </c>
      <c r="E50" s="43" t="s">
        <v>334</v>
      </c>
      <c r="F50" s="43">
        <v>4</v>
      </c>
      <c r="G50" s="44" t="s">
        <v>518</v>
      </c>
      <c r="H50" s="35"/>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4</v>
      </c>
      <c r="G55" s="30" t="s">
        <v>518</v>
      </c>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4</v>
      </c>
      <c r="G57" s="30" t="s">
        <v>519</v>
      </c>
      <c r="H57" s="31"/>
    </row>
    <row r="58" spans="2:8" ht="15.6" x14ac:dyDescent="0.3">
      <c r="B58" s="32" t="s">
        <v>237</v>
      </c>
      <c r="C58" s="33" t="s">
        <v>235</v>
      </c>
      <c r="D58" s="33" t="s">
        <v>323</v>
      </c>
      <c r="E58" s="33" t="s">
        <v>334</v>
      </c>
      <c r="F58" s="33">
        <v>3</v>
      </c>
      <c r="G58" s="34" t="s">
        <v>518</v>
      </c>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4</v>
      </c>
      <c r="G61" s="30" t="s">
        <v>520</v>
      </c>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49">
        <v>4</v>
      </c>
      <c r="G65" s="50" t="s">
        <v>518</v>
      </c>
      <c r="H65" s="51"/>
    </row>
    <row r="66" spans="2:8" x14ac:dyDescent="0.3">
      <c r="F66">
        <f>AVERAGE(F3:F65)</f>
        <v>4.4920634920634921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4A21-2242-45A3-8AC0-3332105BD76D}">
  <sheetPr>
    <tabColor rgb="FFFF0000"/>
  </sheetPr>
  <dimension ref="B2:H66"/>
  <sheetViews>
    <sheetView topLeftCell="A33" workbookViewId="0">
      <selection activeCell="G65" sqref="G6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0</v>
      </c>
      <c r="G3" s="30"/>
      <c r="H3" s="31"/>
    </row>
    <row r="4" spans="2:8" ht="15.6" x14ac:dyDescent="0.3">
      <c r="B4" s="32" t="s">
        <v>218</v>
      </c>
      <c r="C4" s="33" t="s">
        <v>220</v>
      </c>
      <c r="D4" s="33" t="s">
        <v>221</v>
      </c>
      <c r="E4" s="33" t="s">
        <v>334</v>
      </c>
      <c r="F4" s="33">
        <v>0</v>
      </c>
      <c r="G4" s="34"/>
      <c r="H4" s="35"/>
    </row>
    <row r="5" spans="2:8" ht="15.6" x14ac:dyDescent="0.3">
      <c r="B5" s="32" t="s">
        <v>222</v>
      </c>
      <c r="C5" s="28" t="s">
        <v>224</v>
      </c>
      <c r="D5" s="28" t="s">
        <v>225</v>
      </c>
      <c r="E5" s="28" t="s">
        <v>334</v>
      </c>
      <c r="F5" s="28">
        <v>0</v>
      </c>
      <c r="G5" s="30"/>
      <c r="H5" s="31"/>
    </row>
    <row r="6" spans="2:8" ht="15.6" x14ac:dyDescent="0.3">
      <c r="B6" s="32" t="s">
        <v>226</v>
      </c>
      <c r="C6" s="33" t="s">
        <v>216</v>
      </c>
      <c r="D6" s="33" t="s">
        <v>228</v>
      </c>
      <c r="E6" s="33" t="s">
        <v>334</v>
      </c>
      <c r="F6" s="33">
        <v>0</v>
      </c>
      <c r="G6" s="34"/>
      <c r="H6" s="35"/>
    </row>
    <row r="7" spans="2:8" ht="15.6" x14ac:dyDescent="0.3">
      <c r="B7" s="32" t="s">
        <v>229</v>
      </c>
      <c r="C7" s="28" t="s">
        <v>231</v>
      </c>
      <c r="D7" s="28" t="s">
        <v>232</v>
      </c>
      <c r="E7" s="28" t="s">
        <v>334</v>
      </c>
      <c r="F7" s="28">
        <v>0</v>
      </c>
      <c r="G7" s="30"/>
      <c r="H7" s="31"/>
    </row>
    <row r="8" spans="2:8" ht="15.6" x14ac:dyDescent="0.3">
      <c r="B8" s="32" t="s">
        <v>233</v>
      </c>
      <c r="C8" s="33" t="s">
        <v>235</v>
      </c>
      <c r="D8" s="33" t="s">
        <v>236</v>
      </c>
      <c r="E8" s="33" t="s">
        <v>334</v>
      </c>
      <c r="F8" s="33">
        <v>0</v>
      </c>
      <c r="G8" s="34"/>
      <c r="H8" s="35"/>
    </row>
    <row r="9" spans="2:8" ht="15.6" x14ac:dyDescent="0.3">
      <c r="B9" s="32" t="s">
        <v>237</v>
      </c>
      <c r="C9" s="28" t="s">
        <v>235</v>
      </c>
      <c r="D9" s="28" t="s">
        <v>239</v>
      </c>
      <c r="E9" s="28" t="s">
        <v>334</v>
      </c>
      <c r="F9" s="28">
        <v>0</v>
      </c>
      <c r="G9" s="30"/>
      <c r="H9" s="31"/>
    </row>
    <row r="10" spans="2:8" ht="15.6" x14ac:dyDescent="0.3">
      <c r="B10" s="32" t="s">
        <v>240</v>
      </c>
      <c r="C10" s="33" t="s">
        <v>220</v>
      </c>
      <c r="D10" s="33" t="s">
        <v>242</v>
      </c>
      <c r="E10" s="33" t="s">
        <v>334</v>
      </c>
      <c r="F10" s="33">
        <v>0</v>
      </c>
      <c r="G10" s="34"/>
      <c r="H10" s="35"/>
    </row>
    <row r="11" spans="2:8" ht="15.6" x14ac:dyDescent="0.3">
      <c r="B11" s="32" t="s">
        <v>243</v>
      </c>
      <c r="C11" s="28" t="s">
        <v>235</v>
      </c>
      <c r="D11" s="28" t="s">
        <v>244</v>
      </c>
      <c r="E11" s="28" t="s">
        <v>334</v>
      </c>
      <c r="F11" s="28">
        <v>0</v>
      </c>
      <c r="G11" s="30"/>
      <c r="H11" s="31"/>
    </row>
    <row r="12" spans="2:8" ht="15.6" x14ac:dyDescent="0.3">
      <c r="B12" s="32" t="s">
        <v>245</v>
      </c>
      <c r="C12" s="33" t="s">
        <v>216</v>
      </c>
      <c r="D12" s="33" t="s">
        <v>247</v>
      </c>
      <c r="E12" s="33" t="s">
        <v>334</v>
      </c>
      <c r="F12" s="33">
        <v>0</v>
      </c>
      <c r="G12" s="34"/>
      <c r="H12" s="35"/>
    </row>
    <row r="13" spans="2:8" ht="15.6" x14ac:dyDescent="0.3">
      <c r="B13" s="32" t="s">
        <v>248</v>
      </c>
      <c r="C13" s="28" t="s">
        <v>340</v>
      </c>
      <c r="D13" s="28" t="s">
        <v>251</v>
      </c>
      <c r="E13" s="28" t="s">
        <v>334</v>
      </c>
      <c r="F13" s="28">
        <v>0</v>
      </c>
      <c r="G13" s="30"/>
      <c r="H13" s="31"/>
    </row>
    <row r="14" spans="2:8" ht="15.6" x14ac:dyDescent="0.3">
      <c r="B14" s="32" t="s">
        <v>252</v>
      </c>
      <c r="C14" s="33" t="s">
        <v>216</v>
      </c>
      <c r="D14" s="33" t="s">
        <v>254</v>
      </c>
      <c r="E14" s="33" t="s">
        <v>334</v>
      </c>
      <c r="F14" s="33">
        <v>0</v>
      </c>
      <c r="G14" s="34"/>
      <c r="H14" s="35"/>
    </row>
    <row r="15" spans="2:8" ht="15.6" x14ac:dyDescent="0.3">
      <c r="B15" s="32" t="s">
        <v>255</v>
      </c>
      <c r="C15" s="28" t="s">
        <v>231</v>
      </c>
      <c r="D15" s="28" t="s">
        <v>256</v>
      </c>
      <c r="E15" s="28" t="s">
        <v>334</v>
      </c>
      <c r="F15" s="28">
        <v>0</v>
      </c>
      <c r="G15" s="30"/>
      <c r="H15" s="31"/>
    </row>
    <row r="16" spans="2:8" ht="16.2" thickBot="1" x14ac:dyDescent="0.35">
      <c r="B16" s="36" t="s">
        <v>257</v>
      </c>
      <c r="C16" s="37" t="s">
        <v>220</v>
      </c>
      <c r="D16" s="37" t="s">
        <v>259</v>
      </c>
      <c r="E16" s="37" t="s">
        <v>334</v>
      </c>
      <c r="F16" s="37">
        <v>0</v>
      </c>
      <c r="G16" s="38"/>
      <c r="H16" s="39"/>
    </row>
    <row r="17" spans="2:8" ht="15.6" x14ac:dyDescent="0.3">
      <c r="B17" s="40" t="s">
        <v>214</v>
      </c>
      <c r="C17" s="41" t="s">
        <v>261</v>
      </c>
      <c r="D17" s="41" t="s">
        <v>262</v>
      </c>
      <c r="E17" s="41" t="s">
        <v>334</v>
      </c>
      <c r="F17" s="70">
        <v>0</v>
      </c>
      <c r="G17" s="69"/>
      <c r="H17" s="71"/>
    </row>
    <row r="18" spans="2:8" ht="15.6" x14ac:dyDescent="0.3">
      <c r="B18" s="32" t="s">
        <v>263</v>
      </c>
      <c r="C18" s="33" t="s">
        <v>235</v>
      </c>
      <c r="D18" s="33" t="s">
        <v>265</v>
      </c>
      <c r="E18" s="33" t="s">
        <v>334</v>
      </c>
      <c r="F18" s="33">
        <v>0</v>
      </c>
      <c r="G18" s="34"/>
      <c r="H18" s="35"/>
    </row>
    <row r="19" spans="2:8" ht="15.6" x14ac:dyDescent="0.3">
      <c r="B19" s="32" t="s">
        <v>222</v>
      </c>
      <c r="C19" s="28" t="s">
        <v>224</v>
      </c>
      <c r="D19" s="28" t="s">
        <v>266</v>
      </c>
      <c r="E19" s="28" t="s">
        <v>334</v>
      </c>
      <c r="F19" s="70">
        <v>0</v>
      </c>
      <c r="G19" s="30"/>
      <c r="H19" s="31"/>
    </row>
    <row r="20" spans="2:8" ht="15.6" x14ac:dyDescent="0.3">
      <c r="B20" s="32" t="s">
        <v>267</v>
      </c>
      <c r="C20" s="33" t="s">
        <v>231</v>
      </c>
      <c r="D20" s="33" t="s">
        <v>269</v>
      </c>
      <c r="E20" s="33" t="s">
        <v>334</v>
      </c>
      <c r="F20" s="33">
        <v>0</v>
      </c>
      <c r="G20" s="34"/>
      <c r="H20" s="35"/>
    </row>
    <row r="21" spans="2:8" ht="15.6" x14ac:dyDescent="0.3">
      <c r="B21" s="32" t="s">
        <v>270</v>
      </c>
      <c r="C21" s="28" t="s">
        <v>231</v>
      </c>
      <c r="D21" s="28" t="s">
        <v>272</v>
      </c>
      <c r="E21" s="28" t="s">
        <v>334</v>
      </c>
      <c r="F21" s="70">
        <v>0</v>
      </c>
      <c r="G21" s="30"/>
      <c r="H21" s="31"/>
    </row>
    <row r="22" spans="2:8" ht="15.6" x14ac:dyDescent="0.3">
      <c r="B22" s="32" t="s">
        <v>226</v>
      </c>
      <c r="C22" s="33" t="s">
        <v>261</v>
      </c>
      <c r="D22" s="33" t="s">
        <v>274</v>
      </c>
      <c r="E22" s="33" t="s">
        <v>334</v>
      </c>
      <c r="F22" s="33">
        <v>0</v>
      </c>
      <c r="G22" s="34"/>
      <c r="H22" s="35"/>
    </row>
    <row r="23" spans="2:8" ht="15.6" x14ac:dyDescent="0.3">
      <c r="B23" s="32" t="s">
        <v>229</v>
      </c>
      <c r="C23" s="28" t="s">
        <v>231</v>
      </c>
      <c r="D23" s="28" t="s">
        <v>275</v>
      </c>
      <c r="E23" s="28" t="s">
        <v>334</v>
      </c>
      <c r="F23" s="70">
        <v>0</v>
      </c>
      <c r="G23" s="30"/>
      <c r="H23" s="31"/>
    </row>
    <row r="24" spans="2:8" ht="15.6" x14ac:dyDescent="0.3">
      <c r="B24" s="32" t="s">
        <v>233</v>
      </c>
      <c r="C24" s="33" t="s">
        <v>235</v>
      </c>
      <c r="D24" s="33" t="s">
        <v>277</v>
      </c>
      <c r="E24" s="33" t="s">
        <v>334</v>
      </c>
      <c r="F24" s="33">
        <v>0</v>
      </c>
      <c r="G24" s="34"/>
      <c r="H24" s="35"/>
    </row>
    <row r="25" spans="2:8" ht="15.6" x14ac:dyDescent="0.3">
      <c r="B25" s="32" t="s">
        <v>237</v>
      </c>
      <c r="C25" s="28" t="s">
        <v>235</v>
      </c>
      <c r="D25" s="28" t="s">
        <v>279</v>
      </c>
      <c r="E25" s="28" t="s">
        <v>334</v>
      </c>
      <c r="F25" s="70">
        <v>0</v>
      </c>
      <c r="G25" s="30"/>
      <c r="H25" s="31"/>
    </row>
    <row r="26" spans="2:8" ht="15.6" x14ac:dyDescent="0.3">
      <c r="B26" s="32" t="s">
        <v>240</v>
      </c>
      <c r="C26" s="33" t="s">
        <v>220</v>
      </c>
      <c r="D26" s="33" t="s">
        <v>281</v>
      </c>
      <c r="E26" s="33" t="s">
        <v>334</v>
      </c>
      <c r="F26" s="33">
        <v>0</v>
      </c>
      <c r="G26" s="34"/>
      <c r="H26" s="35"/>
    </row>
    <row r="27" spans="2:8" ht="15.6" x14ac:dyDescent="0.3">
      <c r="B27" s="32" t="s">
        <v>243</v>
      </c>
      <c r="C27" s="28" t="s">
        <v>235</v>
      </c>
      <c r="D27" s="28" t="s">
        <v>283</v>
      </c>
      <c r="E27" s="28" t="s">
        <v>334</v>
      </c>
      <c r="F27" s="70">
        <v>0</v>
      </c>
      <c r="G27" s="30"/>
      <c r="H27" s="31"/>
    </row>
    <row r="28" spans="2:8" ht="15.6" x14ac:dyDescent="0.3">
      <c r="B28" s="32" t="s">
        <v>245</v>
      </c>
      <c r="C28" s="33" t="s">
        <v>261</v>
      </c>
      <c r="D28" s="33" t="s">
        <v>284</v>
      </c>
      <c r="E28" s="33" t="s">
        <v>334</v>
      </c>
      <c r="F28" s="33">
        <v>0</v>
      </c>
      <c r="G28" s="34"/>
      <c r="H28" s="35"/>
    </row>
    <row r="29" spans="2:8" ht="15.6" x14ac:dyDescent="0.3">
      <c r="B29" s="32" t="s">
        <v>248</v>
      </c>
      <c r="C29" s="28" t="s">
        <v>335</v>
      </c>
      <c r="D29" s="28" t="s">
        <v>287</v>
      </c>
      <c r="E29" s="28" t="s">
        <v>334</v>
      </c>
      <c r="F29" s="70">
        <v>0</v>
      </c>
      <c r="G29" s="30"/>
      <c r="H29" s="31"/>
    </row>
    <row r="30" spans="2:8" ht="15.6" x14ac:dyDescent="0.3">
      <c r="B30" s="32" t="s">
        <v>252</v>
      </c>
      <c r="C30" s="33" t="s">
        <v>261</v>
      </c>
      <c r="D30" s="33" t="s">
        <v>288</v>
      </c>
      <c r="E30" s="33" t="s">
        <v>334</v>
      </c>
      <c r="F30" s="33">
        <v>0</v>
      </c>
      <c r="G30" s="34"/>
      <c r="H30" s="35"/>
    </row>
    <row r="31" spans="2:8" ht="15.6" x14ac:dyDescent="0.3">
      <c r="B31" s="32" t="s">
        <v>255</v>
      </c>
      <c r="C31" s="28" t="s">
        <v>231</v>
      </c>
      <c r="D31" s="28" t="s">
        <v>289</v>
      </c>
      <c r="E31" s="28" t="s">
        <v>334</v>
      </c>
      <c r="F31" s="28">
        <v>0</v>
      </c>
      <c r="G31" s="30"/>
      <c r="H31" s="31"/>
    </row>
    <row r="32" spans="2:8" ht="16.2" thickBot="1" x14ac:dyDescent="0.35">
      <c r="B32" s="36" t="s">
        <v>257</v>
      </c>
      <c r="C32" s="37" t="s">
        <v>220</v>
      </c>
      <c r="D32" s="37" t="s">
        <v>291</v>
      </c>
      <c r="E32" s="37" t="s">
        <v>334</v>
      </c>
      <c r="F32" s="37">
        <v>0</v>
      </c>
      <c r="G32" s="38"/>
      <c r="H32" s="39"/>
    </row>
    <row r="33" spans="2:8" ht="15.6" x14ac:dyDescent="0.3">
      <c r="B33" s="40" t="s">
        <v>292</v>
      </c>
      <c r="C33" s="28" t="s">
        <v>231</v>
      </c>
      <c r="D33" s="41" t="s">
        <v>294</v>
      </c>
      <c r="E33" s="41" t="s">
        <v>334</v>
      </c>
      <c r="F33" s="70">
        <v>0</v>
      </c>
      <c r="G33" s="69"/>
      <c r="H33" s="71"/>
    </row>
    <row r="34" spans="2:8" ht="15.6" x14ac:dyDescent="0.3">
      <c r="B34" s="32" t="s">
        <v>295</v>
      </c>
      <c r="C34" s="33" t="s">
        <v>231</v>
      </c>
      <c r="D34" s="33" t="s">
        <v>297</v>
      </c>
      <c r="E34" s="33" t="s">
        <v>334</v>
      </c>
      <c r="F34" s="33">
        <v>0</v>
      </c>
      <c r="G34" s="34"/>
      <c r="H34" s="35"/>
    </row>
    <row r="35" spans="2:8" ht="16.2" thickBot="1" x14ac:dyDescent="0.35">
      <c r="B35" s="36" t="s">
        <v>298</v>
      </c>
      <c r="C35" s="28" t="s">
        <v>231</v>
      </c>
      <c r="D35" s="45" t="s">
        <v>300</v>
      </c>
      <c r="E35" s="45" t="s">
        <v>334</v>
      </c>
      <c r="F35" s="45">
        <v>0</v>
      </c>
      <c r="G35" s="46"/>
      <c r="H35" s="47"/>
    </row>
    <row r="36" spans="2:8" ht="15.6" x14ac:dyDescent="0.3">
      <c r="B36" s="40" t="s">
        <v>214</v>
      </c>
      <c r="C36" s="33" t="s">
        <v>216</v>
      </c>
      <c r="D36" s="43" t="s">
        <v>301</v>
      </c>
      <c r="E36" s="43" t="s">
        <v>334</v>
      </c>
      <c r="F36" s="129">
        <v>0</v>
      </c>
      <c r="G36" s="130"/>
      <c r="H36" s="131"/>
    </row>
    <row r="37" spans="2:8" ht="15.6" x14ac:dyDescent="0.3">
      <c r="B37" s="32" t="s">
        <v>218</v>
      </c>
      <c r="C37" s="28" t="s">
        <v>220</v>
      </c>
      <c r="D37" s="28" t="s">
        <v>302</v>
      </c>
      <c r="E37" s="28" t="s">
        <v>334</v>
      </c>
      <c r="F37" s="28">
        <v>0</v>
      </c>
      <c r="G37" s="30"/>
      <c r="H37" s="31"/>
    </row>
    <row r="38" spans="2:8" ht="15.6" x14ac:dyDescent="0.3">
      <c r="B38" s="32" t="s">
        <v>222</v>
      </c>
      <c r="C38" s="33" t="s">
        <v>224</v>
      </c>
      <c r="D38" s="33" t="s">
        <v>303</v>
      </c>
      <c r="E38" s="33" t="s">
        <v>334</v>
      </c>
      <c r="F38" s="129">
        <v>0</v>
      </c>
      <c r="G38" s="34"/>
      <c r="H38" s="35"/>
    </row>
    <row r="39" spans="2:8" ht="15.6" x14ac:dyDescent="0.3">
      <c r="B39" s="32" t="s">
        <v>226</v>
      </c>
      <c r="C39" s="28" t="s">
        <v>216</v>
      </c>
      <c r="D39" s="28" t="s">
        <v>304</v>
      </c>
      <c r="E39" s="28" t="s">
        <v>334</v>
      </c>
      <c r="F39" s="28">
        <v>0</v>
      </c>
      <c r="G39" s="30"/>
      <c r="H39" s="31"/>
    </row>
    <row r="40" spans="2:8" ht="15.6" x14ac:dyDescent="0.3">
      <c r="B40" s="32" t="s">
        <v>229</v>
      </c>
      <c r="C40" s="33" t="s">
        <v>231</v>
      </c>
      <c r="D40" s="33" t="s">
        <v>305</v>
      </c>
      <c r="E40" s="33" t="s">
        <v>334</v>
      </c>
      <c r="F40" s="129">
        <v>0</v>
      </c>
      <c r="G40" s="34"/>
      <c r="H40" s="35"/>
    </row>
    <row r="41" spans="2:8" ht="15.6" x14ac:dyDescent="0.3">
      <c r="B41" s="32" t="s">
        <v>233</v>
      </c>
      <c r="C41" s="28" t="s">
        <v>235</v>
      </c>
      <c r="D41" s="28" t="s">
        <v>306</v>
      </c>
      <c r="E41" s="28" t="s">
        <v>334</v>
      </c>
      <c r="F41" s="28">
        <v>0</v>
      </c>
      <c r="G41" s="30"/>
      <c r="H41" s="31"/>
    </row>
    <row r="42" spans="2:8" ht="15.6" x14ac:dyDescent="0.3">
      <c r="B42" s="32" t="s">
        <v>237</v>
      </c>
      <c r="C42" s="33" t="s">
        <v>235</v>
      </c>
      <c r="D42" s="33" t="s">
        <v>307</v>
      </c>
      <c r="E42" s="33" t="s">
        <v>334</v>
      </c>
      <c r="F42" s="129">
        <v>0</v>
      </c>
      <c r="G42" s="34"/>
      <c r="H42" s="35"/>
    </row>
    <row r="43" spans="2:8" ht="15.6" x14ac:dyDescent="0.3">
      <c r="B43" s="32" t="s">
        <v>240</v>
      </c>
      <c r="C43" s="28" t="s">
        <v>220</v>
      </c>
      <c r="D43" s="28" t="s">
        <v>308</v>
      </c>
      <c r="E43" s="28" t="s">
        <v>334</v>
      </c>
      <c r="F43" s="28">
        <v>0</v>
      </c>
      <c r="G43" s="30"/>
      <c r="H43" s="31"/>
    </row>
    <row r="44" spans="2:8" ht="15.6" x14ac:dyDescent="0.3">
      <c r="B44" s="32" t="s">
        <v>243</v>
      </c>
      <c r="C44" s="33" t="s">
        <v>235</v>
      </c>
      <c r="D44" s="33" t="s">
        <v>309</v>
      </c>
      <c r="E44" s="33" t="s">
        <v>334</v>
      </c>
      <c r="F44" s="129">
        <v>0</v>
      </c>
      <c r="G44" s="34"/>
      <c r="H44" s="35"/>
    </row>
    <row r="45" spans="2:8" ht="15.6" x14ac:dyDescent="0.3">
      <c r="B45" s="32" t="s">
        <v>245</v>
      </c>
      <c r="C45" s="28" t="s">
        <v>216</v>
      </c>
      <c r="D45" s="28" t="s">
        <v>310</v>
      </c>
      <c r="E45" s="28" t="s">
        <v>334</v>
      </c>
      <c r="F45" s="28">
        <v>0</v>
      </c>
      <c r="G45" s="30"/>
      <c r="H45" s="31"/>
    </row>
    <row r="46" spans="2:8" ht="15.6" x14ac:dyDescent="0.3">
      <c r="B46" s="32" t="s">
        <v>248</v>
      </c>
      <c r="C46" s="33" t="s">
        <v>340</v>
      </c>
      <c r="D46" s="33" t="s">
        <v>311</v>
      </c>
      <c r="E46" s="33" t="s">
        <v>334</v>
      </c>
      <c r="F46" s="129">
        <v>0</v>
      </c>
      <c r="G46" s="34"/>
      <c r="H46" s="35"/>
    </row>
    <row r="47" spans="2:8" ht="15.6" x14ac:dyDescent="0.3">
      <c r="B47" s="32" t="s">
        <v>252</v>
      </c>
      <c r="C47" s="28" t="s">
        <v>216</v>
      </c>
      <c r="D47" s="28" t="s">
        <v>312</v>
      </c>
      <c r="E47" s="28" t="s">
        <v>334</v>
      </c>
      <c r="F47" s="28">
        <v>0</v>
      </c>
      <c r="G47" s="30"/>
      <c r="H47" s="31"/>
    </row>
    <row r="48" spans="2:8" ht="15.6" x14ac:dyDescent="0.3">
      <c r="B48" s="32" t="s">
        <v>255</v>
      </c>
      <c r="C48" s="33" t="s">
        <v>231</v>
      </c>
      <c r="D48" s="33" t="s">
        <v>313</v>
      </c>
      <c r="E48" s="33" t="s">
        <v>334</v>
      </c>
      <c r="F48" s="129">
        <v>0</v>
      </c>
      <c r="G48" s="34"/>
      <c r="H48" s="35"/>
    </row>
    <row r="49" spans="2:8" ht="16.2" thickBot="1" x14ac:dyDescent="0.35">
      <c r="B49" s="36" t="s">
        <v>257</v>
      </c>
      <c r="C49" s="45" t="s">
        <v>220</v>
      </c>
      <c r="D49" s="45" t="s">
        <v>314</v>
      </c>
      <c r="E49" s="45" t="s">
        <v>334</v>
      </c>
      <c r="F49" s="45">
        <v>0</v>
      </c>
      <c r="G49" s="46"/>
      <c r="H49" s="47"/>
    </row>
    <row r="50" spans="2:8" ht="15.6" x14ac:dyDescent="0.3">
      <c r="B50" s="40" t="s">
        <v>214</v>
      </c>
      <c r="C50" s="43" t="s">
        <v>261</v>
      </c>
      <c r="D50" s="43" t="s">
        <v>315</v>
      </c>
      <c r="E50" s="43" t="s">
        <v>334</v>
      </c>
      <c r="F50" s="129">
        <v>0</v>
      </c>
      <c r="G50" s="130"/>
      <c r="H50" s="131"/>
    </row>
    <row r="51" spans="2:8" ht="15.6" x14ac:dyDescent="0.3">
      <c r="B51" s="32" t="s">
        <v>263</v>
      </c>
      <c r="C51" s="28" t="s">
        <v>235</v>
      </c>
      <c r="D51" s="28" t="s">
        <v>316</v>
      </c>
      <c r="E51" s="28" t="s">
        <v>334</v>
      </c>
      <c r="F51" s="28">
        <v>0</v>
      </c>
      <c r="G51" s="30"/>
      <c r="H51" s="31"/>
    </row>
    <row r="52" spans="2:8" ht="15.6" x14ac:dyDescent="0.3">
      <c r="B52" s="32" t="s">
        <v>222</v>
      </c>
      <c r="C52" s="33" t="s">
        <v>224</v>
      </c>
      <c r="D52" s="33" t="s">
        <v>317</v>
      </c>
      <c r="E52" s="33" t="s">
        <v>334</v>
      </c>
      <c r="F52" s="129">
        <v>0</v>
      </c>
      <c r="G52" s="34"/>
      <c r="H52" s="35"/>
    </row>
    <row r="53" spans="2:8" ht="15.6" x14ac:dyDescent="0.3">
      <c r="B53" s="32" t="s">
        <v>267</v>
      </c>
      <c r="C53" s="28" t="s">
        <v>231</v>
      </c>
      <c r="D53" s="28" t="s">
        <v>318</v>
      </c>
      <c r="E53" s="28" t="s">
        <v>334</v>
      </c>
      <c r="F53" s="28">
        <v>0</v>
      </c>
      <c r="G53" s="30"/>
      <c r="H53" s="31"/>
    </row>
    <row r="54" spans="2:8" ht="15.6" x14ac:dyDescent="0.3">
      <c r="B54" s="32" t="s">
        <v>270</v>
      </c>
      <c r="C54" s="33" t="s">
        <v>231</v>
      </c>
      <c r="D54" s="33" t="s">
        <v>319</v>
      </c>
      <c r="E54" s="33" t="s">
        <v>334</v>
      </c>
      <c r="F54" s="129">
        <v>0</v>
      </c>
      <c r="G54" s="34"/>
      <c r="H54" s="35"/>
    </row>
    <row r="55" spans="2:8" ht="15.6" x14ac:dyDescent="0.3">
      <c r="B55" s="32" t="s">
        <v>226</v>
      </c>
      <c r="C55" s="28" t="s">
        <v>261</v>
      </c>
      <c r="D55" s="28" t="s">
        <v>320</v>
      </c>
      <c r="E55" s="28" t="s">
        <v>334</v>
      </c>
      <c r="F55" s="28">
        <v>0</v>
      </c>
      <c r="G55" s="30"/>
      <c r="H55" s="31"/>
    </row>
    <row r="56" spans="2:8" ht="15.6" x14ac:dyDescent="0.3">
      <c r="B56" s="32" t="s">
        <v>229</v>
      </c>
      <c r="C56" s="33" t="s">
        <v>231</v>
      </c>
      <c r="D56" s="33" t="s">
        <v>321</v>
      </c>
      <c r="E56" s="33" t="s">
        <v>334</v>
      </c>
      <c r="F56" s="129">
        <v>0</v>
      </c>
      <c r="G56" s="34"/>
      <c r="H56" s="35"/>
    </row>
    <row r="57" spans="2:8" ht="15.6" x14ac:dyDescent="0.3">
      <c r="B57" s="32" t="s">
        <v>233</v>
      </c>
      <c r="C57" s="28" t="s">
        <v>235</v>
      </c>
      <c r="D57" s="28" t="s">
        <v>322</v>
      </c>
      <c r="E57" s="28" t="s">
        <v>334</v>
      </c>
      <c r="F57" s="28">
        <v>0</v>
      </c>
      <c r="G57" s="30"/>
      <c r="H57" s="31"/>
    </row>
    <row r="58" spans="2:8" ht="15.6" x14ac:dyDescent="0.3">
      <c r="B58" s="32" t="s">
        <v>237</v>
      </c>
      <c r="C58" s="33" t="s">
        <v>235</v>
      </c>
      <c r="D58" s="33" t="s">
        <v>323</v>
      </c>
      <c r="E58" s="33" t="s">
        <v>334</v>
      </c>
      <c r="F58" s="129">
        <v>0</v>
      </c>
      <c r="G58" s="34"/>
      <c r="H58" s="35"/>
    </row>
    <row r="59" spans="2:8" ht="15.6" x14ac:dyDescent="0.3">
      <c r="B59" s="32" t="s">
        <v>240</v>
      </c>
      <c r="C59" s="28" t="s">
        <v>220</v>
      </c>
      <c r="D59" s="28" t="s">
        <v>324</v>
      </c>
      <c r="E59" s="28" t="s">
        <v>334</v>
      </c>
      <c r="F59" s="28">
        <v>0</v>
      </c>
      <c r="G59" s="30"/>
      <c r="H59" s="31"/>
    </row>
    <row r="60" spans="2:8" ht="15.6" x14ac:dyDescent="0.3">
      <c r="B60" s="32" t="s">
        <v>243</v>
      </c>
      <c r="C60" s="33" t="s">
        <v>231</v>
      </c>
      <c r="D60" s="33" t="s">
        <v>325</v>
      </c>
      <c r="E60" s="33" t="s">
        <v>334</v>
      </c>
      <c r="F60" s="129">
        <v>0</v>
      </c>
      <c r="G60" s="34"/>
      <c r="H60" s="35"/>
    </row>
    <row r="61" spans="2:8" ht="15.6" x14ac:dyDescent="0.3">
      <c r="B61" s="32" t="s">
        <v>245</v>
      </c>
      <c r="C61" s="28" t="s">
        <v>261</v>
      </c>
      <c r="D61" s="28" t="s">
        <v>326</v>
      </c>
      <c r="E61" s="28" t="s">
        <v>334</v>
      </c>
      <c r="F61" s="28">
        <v>0</v>
      </c>
      <c r="G61" s="30"/>
      <c r="H61" s="31"/>
    </row>
    <row r="62" spans="2:8" ht="15.6" x14ac:dyDescent="0.3">
      <c r="B62" s="32" t="s">
        <v>248</v>
      </c>
      <c r="C62" s="33" t="s">
        <v>335</v>
      </c>
      <c r="D62" s="33" t="s">
        <v>327</v>
      </c>
      <c r="E62" s="33" t="s">
        <v>334</v>
      </c>
      <c r="F62" s="129">
        <v>0</v>
      </c>
      <c r="G62" s="34"/>
      <c r="H62" s="35"/>
    </row>
    <row r="63" spans="2:8" ht="15.6" x14ac:dyDescent="0.3">
      <c r="B63" s="32" t="s">
        <v>252</v>
      </c>
      <c r="C63" s="28" t="s">
        <v>261</v>
      </c>
      <c r="D63" s="28" t="s">
        <v>328</v>
      </c>
      <c r="E63" s="28" t="s">
        <v>334</v>
      </c>
      <c r="F63" s="28">
        <v>0</v>
      </c>
      <c r="G63" s="30"/>
      <c r="H63" s="31"/>
    </row>
    <row r="64" spans="2:8" ht="15.6" x14ac:dyDescent="0.3">
      <c r="B64" s="32" t="s">
        <v>255</v>
      </c>
      <c r="C64" s="33" t="s">
        <v>231</v>
      </c>
      <c r="D64" s="33" t="s">
        <v>329</v>
      </c>
      <c r="E64" s="33" t="s">
        <v>334</v>
      </c>
      <c r="F64" s="129">
        <v>0</v>
      </c>
      <c r="G64" s="34"/>
      <c r="H64" s="35"/>
    </row>
    <row r="65" spans="2:8" ht="15.6" x14ac:dyDescent="0.3">
      <c r="B65" s="48" t="s">
        <v>257</v>
      </c>
      <c r="C65" s="49" t="s">
        <v>220</v>
      </c>
      <c r="D65" s="49" t="s">
        <v>330</v>
      </c>
      <c r="E65" s="49" t="s">
        <v>334</v>
      </c>
      <c r="F65" s="28">
        <v>0</v>
      </c>
      <c r="G65" s="30"/>
      <c r="H65" s="31"/>
    </row>
    <row r="66" spans="2:8" x14ac:dyDescent="0.3">
      <c r="F66">
        <f>AVERAGE(F3:F65)</f>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B21E-4980-41A5-AB3B-72485018E43A}">
  <dimension ref="B2:H66"/>
  <sheetViews>
    <sheetView workbookViewId="0">
      <selection activeCell="F51" sqref="F51"/>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4</v>
      </c>
      <c r="G9" s="76" t="s">
        <v>510</v>
      </c>
      <c r="H9" s="77" t="s">
        <v>511</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75">
        <v>4</v>
      </c>
      <c r="G14" s="76" t="s">
        <v>510</v>
      </c>
      <c r="H14" s="77" t="s">
        <v>511</v>
      </c>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28">
        <v>4</v>
      </c>
      <c r="G18" s="30" t="s">
        <v>490</v>
      </c>
      <c r="H18" s="31" t="s">
        <v>401</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72">
        <v>1</v>
      </c>
      <c r="G20" s="73" t="s">
        <v>341</v>
      </c>
      <c r="H20" s="74" t="s">
        <v>525</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72">
        <v>3</v>
      </c>
      <c r="G24" s="73" t="s">
        <v>338</v>
      </c>
      <c r="H24" s="74" t="s">
        <v>526</v>
      </c>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72">
        <v>4</v>
      </c>
      <c r="G28" s="73" t="s">
        <v>527</v>
      </c>
      <c r="H28" s="74" t="s">
        <v>528</v>
      </c>
    </row>
    <row r="29" spans="2:8" ht="15.6" x14ac:dyDescent="0.3">
      <c r="B29" s="32" t="s">
        <v>248</v>
      </c>
      <c r="C29" s="28" t="s">
        <v>335</v>
      </c>
      <c r="D29" s="28" t="s">
        <v>287</v>
      </c>
      <c r="E29" s="28" t="s">
        <v>334</v>
      </c>
      <c r="F29" s="75">
        <v>4</v>
      </c>
      <c r="G29" s="76" t="s">
        <v>490</v>
      </c>
      <c r="H29" s="77" t="s">
        <v>401</v>
      </c>
    </row>
    <row r="30" spans="2:8" ht="15.6" x14ac:dyDescent="0.3">
      <c r="B30" s="32" t="s">
        <v>252</v>
      </c>
      <c r="C30" s="33" t="s">
        <v>261</v>
      </c>
      <c r="D30" s="33" t="s">
        <v>288</v>
      </c>
      <c r="E30" s="33" t="s">
        <v>334</v>
      </c>
      <c r="F30" s="75">
        <v>4</v>
      </c>
      <c r="G30" s="76" t="s">
        <v>490</v>
      </c>
      <c r="H30" s="77" t="s">
        <v>529</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75">
        <v>4</v>
      </c>
      <c r="G41" s="76" t="s">
        <v>510</v>
      </c>
      <c r="H41" s="77" t="s">
        <v>511</v>
      </c>
    </row>
    <row r="42" spans="2:8" ht="15.6" x14ac:dyDescent="0.3">
      <c r="B42" s="32" t="s">
        <v>237</v>
      </c>
      <c r="C42" s="33" t="s">
        <v>235</v>
      </c>
      <c r="D42" s="33" t="s">
        <v>307</v>
      </c>
      <c r="E42" s="33" t="s">
        <v>334</v>
      </c>
      <c r="F42" s="75">
        <v>4</v>
      </c>
      <c r="G42" s="76" t="s">
        <v>510</v>
      </c>
      <c r="H42" s="77" t="s">
        <v>511</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4</v>
      </c>
      <c r="G44" s="76" t="s">
        <v>510</v>
      </c>
      <c r="H44" s="77" t="s">
        <v>511</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75">
        <v>4</v>
      </c>
      <c r="G49" s="76" t="s">
        <v>510</v>
      </c>
      <c r="H49" s="77" t="s">
        <v>511</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129">
        <v>5</v>
      </c>
      <c r="G52" s="130"/>
      <c r="H52" s="131"/>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129">
        <v>5</v>
      </c>
      <c r="G54" s="130"/>
      <c r="H54" s="131"/>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129">
        <v>5</v>
      </c>
      <c r="G56" s="130"/>
      <c r="H56" s="131"/>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29">
        <v>5</v>
      </c>
      <c r="G58" s="130"/>
      <c r="H58" s="131"/>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29">
        <v>5</v>
      </c>
      <c r="G60" s="130"/>
      <c r="H60" s="131"/>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129">
        <v>5</v>
      </c>
      <c r="G62" s="130"/>
      <c r="H62" s="131"/>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129">
        <v>5</v>
      </c>
      <c r="G64" s="130"/>
      <c r="H64" s="131"/>
    </row>
    <row r="65" spans="2:8" ht="15.6" x14ac:dyDescent="0.3">
      <c r="B65" s="48" t="s">
        <v>257</v>
      </c>
      <c r="C65" s="49" t="s">
        <v>220</v>
      </c>
      <c r="D65" s="49" t="s">
        <v>330</v>
      </c>
      <c r="E65" s="49" t="s">
        <v>334</v>
      </c>
      <c r="F65" s="28">
        <v>5</v>
      </c>
      <c r="G65" s="30"/>
      <c r="H65" s="31"/>
    </row>
    <row r="66" spans="2:8" x14ac:dyDescent="0.3">
      <c r="F66">
        <f>AVERAGE(F3:F65)</f>
        <v>4.746031746031746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68313-FFC3-4333-94FF-A1BC56ACAF41}">
  <dimension ref="B2:H66"/>
  <sheetViews>
    <sheetView topLeftCell="A15" workbookViewId="0">
      <selection activeCell="F58" sqref="F58"/>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72">
        <v>3</v>
      </c>
      <c r="G18" s="73" t="s">
        <v>381</v>
      </c>
      <c r="H18" s="74" t="s">
        <v>530</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72">
        <v>4</v>
      </c>
      <c r="G20" s="73" t="s">
        <v>381</v>
      </c>
      <c r="H20" s="74" t="s">
        <v>531</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0</v>
      </c>
      <c r="G36" s="76" t="s">
        <v>336</v>
      </c>
      <c r="H36" s="77" t="s">
        <v>337</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5">
        <v>0</v>
      </c>
      <c r="G42" s="76" t="s">
        <v>336</v>
      </c>
      <c r="H42" s="77" t="s">
        <v>337</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75">
        <v>0</v>
      </c>
      <c r="G50" s="76" t="s">
        <v>336</v>
      </c>
      <c r="H50" s="77" t="s">
        <v>337</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5">
        <v>0</v>
      </c>
      <c r="G58" s="76" t="s">
        <v>336</v>
      </c>
      <c r="H58" s="77" t="s">
        <v>337</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4.3174603174603172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EA55-75BF-40D1-975D-5DE1E387625D}">
  <dimension ref="B2:H66"/>
  <sheetViews>
    <sheetView topLeftCell="A29" workbookViewId="0">
      <selection activeCell="F43" sqref="F43:H4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70">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70">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70">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0">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0">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70">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70">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75">
        <v>0</v>
      </c>
      <c r="G39" s="76" t="s">
        <v>458</v>
      </c>
      <c r="H39" s="77" t="s">
        <v>337</v>
      </c>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75">
        <v>4</v>
      </c>
      <c r="G43" s="76" t="s">
        <v>532</v>
      </c>
      <c r="H43" s="77" t="s">
        <v>533</v>
      </c>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75">
        <v>4</v>
      </c>
      <c r="G49" s="76" t="s">
        <v>532</v>
      </c>
      <c r="H49" s="77" t="s">
        <v>533</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129">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129">
        <v>5</v>
      </c>
      <c r="G54" s="34"/>
      <c r="H54" s="35"/>
    </row>
    <row r="55" spans="2:8" ht="15.6" x14ac:dyDescent="0.3">
      <c r="B55" s="32" t="s">
        <v>226</v>
      </c>
      <c r="C55" s="28" t="s">
        <v>261</v>
      </c>
      <c r="D55" s="28" t="s">
        <v>320</v>
      </c>
      <c r="E55" s="28" t="s">
        <v>334</v>
      </c>
      <c r="F55" s="75">
        <v>0</v>
      </c>
      <c r="G55" s="76" t="s">
        <v>458</v>
      </c>
      <c r="H55" s="77" t="s">
        <v>337</v>
      </c>
    </row>
    <row r="56" spans="2:8" ht="15.6" x14ac:dyDescent="0.3">
      <c r="B56" s="32" t="s">
        <v>229</v>
      </c>
      <c r="C56" s="33" t="s">
        <v>231</v>
      </c>
      <c r="D56" s="33" t="s">
        <v>321</v>
      </c>
      <c r="E56" s="33" t="s">
        <v>334</v>
      </c>
      <c r="F56" s="129">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29">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29">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129">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129">
        <v>5</v>
      </c>
      <c r="G64" s="34"/>
      <c r="H64" s="35"/>
    </row>
    <row r="65" spans="2:8" ht="15.6" x14ac:dyDescent="0.3">
      <c r="B65" s="48" t="s">
        <v>257</v>
      </c>
      <c r="C65" s="49" t="s">
        <v>220</v>
      </c>
      <c r="D65" s="49" t="s">
        <v>330</v>
      </c>
      <c r="E65" s="49" t="s">
        <v>334</v>
      </c>
      <c r="F65" s="28">
        <v>5</v>
      </c>
      <c r="G65" s="30"/>
      <c r="H65" s="31"/>
    </row>
    <row r="66" spans="2:8" x14ac:dyDescent="0.3">
      <c r="F66">
        <f>AVERAGE(F3:F65)</f>
        <v>4.8095238095238093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65CE-354F-4F63-B50E-84B4604147A5}">
  <dimension ref="B2:H66"/>
  <sheetViews>
    <sheetView topLeftCell="A35" workbookViewId="0">
      <selection activeCell="F50" sqref="F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458</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458</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0</v>
      </c>
      <c r="G39" s="76" t="s">
        <v>458</v>
      </c>
      <c r="H39" s="77" t="s">
        <v>337</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458</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0</v>
      </c>
      <c r="G55" s="76" t="s">
        <v>458</v>
      </c>
      <c r="H55" s="77" t="s">
        <v>337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458</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4.5238095238095237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44ED-E66B-4A3D-822C-2C0B8724955F}">
  <dimension ref="B2:H66"/>
  <sheetViews>
    <sheetView topLeftCell="A23" workbookViewId="0">
      <selection activeCell="L15" sqref="L1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75">
        <v>4</v>
      </c>
      <c r="G16" s="76" t="s">
        <v>532</v>
      </c>
      <c r="H16" s="77" t="s">
        <v>533</v>
      </c>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72">
        <v>4</v>
      </c>
      <c r="G18" s="73" t="s">
        <v>353</v>
      </c>
      <c r="H18" s="74" t="s">
        <v>401</v>
      </c>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72">
        <v>4</v>
      </c>
      <c r="G26" s="73" t="s">
        <v>534</v>
      </c>
      <c r="H26" s="74" t="s">
        <v>535</v>
      </c>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41">
        <v>4</v>
      </c>
      <c r="G36" s="142" t="s">
        <v>536</v>
      </c>
      <c r="H36" s="143" t="s">
        <v>537</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141">
        <v>4</v>
      </c>
      <c r="G39" s="142" t="s">
        <v>536</v>
      </c>
      <c r="H39" s="143" t="s">
        <v>537</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41">
        <v>4</v>
      </c>
      <c r="G50" s="142" t="s">
        <v>536</v>
      </c>
      <c r="H50" s="143" t="s">
        <v>537</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141">
        <v>4</v>
      </c>
      <c r="G55" s="142" t="s">
        <v>536</v>
      </c>
      <c r="H55" s="143" t="s">
        <v>537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4.8888888888888893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E866-872D-45AD-80D0-9F0B5F8EF3D6}">
  <dimension ref="B2:H66"/>
  <sheetViews>
    <sheetView workbookViewId="0">
      <selection activeCell="G56" sqref="G5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D44D-D92D-4BB8-8FFE-6E716DD20347}">
  <dimension ref="B2:H66"/>
  <sheetViews>
    <sheetView topLeftCell="A38" workbookViewId="0">
      <selection activeCell="F50" sqref="F50:H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4</v>
      </c>
      <c r="G3" s="76" t="s">
        <v>538</v>
      </c>
      <c r="H3" s="77" t="s">
        <v>539</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5">
        <v>4</v>
      </c>
      <c r="G6" s="76" t="s">
        <v>538</v>
      </c>
      <c r="H6" s="77" t="s">
        <v>539</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75">
        <v>1</v>
      </c>
      <c r="G13" s="76" t="s">
        <v>381</v>
      </c>
      <c r="H13" s="77" t="s">
        <v>540</v>
      </c>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5">
        <v>4</v>
      </c>
      <c r="G17" s="76" t="s">
        <v>538</v>
      </c>
      <c r="H17" s="77" t="s">
        <v>539</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4</v>
      </c>
      <c r="G22" s="76" t="s">
        <v>538</v>
      </c>
      <c r="H22" s="77" t="s">
        <v>539</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75">
        <v>1</v>
      </c>
      <c r="G29" s="76" t="s">
        <v>381</v>
      </c>
      <c r="H29" s="77" t="s">
        <v>540</v>
      </c>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4</v>
      </c>
      <c r="G36" s="76" t="s">
        <v>538</v>
      </c>
      <c r="H36" s="77" t="s">
        <v>539</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76" t="s">
        <v>538</v>
      </c>
      <c r="H39" s="77" t="s">
        <v>539</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75">
        <v>4</v>
      </c>
      <c r="G47" s="76" t="s">
        <v>353</v>
      </c>
      <c r="H47" s="77" t="s">
        <v>401</v>
      </c>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99">
        <v>4</v>
      </c>
      <c r="G49" s="100" t="s">
        <v>541</v>
      </c>
      <c r="H49" s="101" t="s">
        <v>542</v>
      </c>
    </row>
    <row r="50" spans="2:8" ht="15.6" x14ac:dyDescent="0.3">
      <c r="B50" s="40" t="s">
        <v>214</v>
      </c>
      <c r="C50" s="43" t="s">
        <v>261</v>
      </c>
      <c r="D50" s="43" t="s">
        <v>315</v>
      </c>
      <c r="E50" s="43" t="s">
        <v>334</v>
      </c>
      <c r="F50" s="75">
        <v>4</v>
      </c>
      <c r="G50" s="76" t="s">
        <v>538</v>
      </c>
      <c r="H50" s="77" t="s">
        <v>539</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4</v>
      </c>
      <c r="G55" s="76" t="s">
        <v>538</v>
      </c>
      <c r="H55" s="77" t="s">
        <v>539</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75">
        <v>4</v>
      </c>
      <c r="G63" s="76" t="s">
        <v>353</v>
      </c>
      <c r="H63" s="77" t="s">
        <v>401</v>
      </c>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4.6984126984126986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8C2D-B6AB-43DB-B989-1B4E0EA9EBB9}">
  <dimension ref="B2:H66"/>
  <sheetViews>
    <sheetView topLeftCell="A38" workbookViewId="0">
      <selection activeCell="F60" sqref="F60:H6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4</v>
      </c>
      <c r="G3" s="76" t="s">
        <v>538</v>
      </c>
      <c r="H3" s="77" t="s">
        <v>539</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5">
        <v>4</v>
      </c>
      <c r="G6" s="76" t="s">
        <v>538</v>
      </c>
      <c r="H6" s="77" t="s">
        <v>539</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5">
        <v>4</v>
      </c>
      <c r="G17" s="76" t="s">
        <v>538</v>
      </c>
      <c r="H17" s="77" t="s">
        <v>539</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4</v>
      </c>
      <c r="G22" s="76" t="s">
        <v>538</v>
      </c>
      <c r="H22" s="77" t="s">
        <v>539</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4</v>
      </c>
      <c r="G36" s="76" t="s">
        <v>538</v>
      </c>
      <c r="H36" s="77" t="s">
        <v>539</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76" t="s">
        <v>538</v>
      </c>
      <c r="H39" s="77" t="s">
        <v>539</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75">
        <v>4</v>
      </c>
      <c r="G50" s="76" t="s">
        <v>538</v>
      </c>
      <c r="H50" s="77" t="s">
        <v>539</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4</v>
      </c>
      <c r="G55" s="76" t="s">
        <v>538</v>
      </c>
      <c r="H55" s="77" t="s">
        <v>539</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4.5555555555555554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142E-46E8-45AB-B29A-8929A14DF407}">
  <dimension ref="B2:H66"/>
  <sheetViews>
    <sheetView topLeftCell="A32" workbookViewId="0">
      <selection activeCell="G40" sqref="G4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75">
        <v>4</v>
      </c>
      <c r="G3" s="76" t="s">
        <v>538</v>
      </c>
      <c r="H3" s="77" t="s">
        <v>539</v>
      </c>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5">
        <v>4</v>
      </c>
      <c r="G6" s="76" t="s">
        <v>538</v>
      </c>
      <c r="H6" s="77" t="s">
        <v>539</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5">
        <v>4</v>
      </c>
      <c r="G17" s="76" t="s">
        <v>538</v>
      </c>
      <c r="H17" s="77" t="s">
        <v>539</v>
      </c>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72">
        <v>3</v>
      </c>
      <c r="G20" s="73" t="s">
        <v>381</v>
      </c>
      <c r="H20" s="74" t="s">
        <v>543</v>
      </c>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5">
        <v>4</v>
      </c>
      <c r="G22" s="76" t="s">
        <v>538</v>
      </c>
      <c r="H22" s="77" t="s">
        <v>539</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75">
        <v>4</v>
      </c>
      <c r="G36" s="76" t="s">
        <v>538</v>
      </c>
      <c r="H36" s="77" t="s">
        <v>539</v>
      </c>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4</v>
      </c>
      <c r="G39" s="76" t="s">
        <v>538</v>
      </c>
      <c r="H39" s="77" t="s">
        <v>539</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75">
        <v>4</v>
      </c>
      <c r="G50" s="76" t="s">
        <v>538</v>
      </c>
      <c r="H50" s="77" t="s">
        <v>539</v>
      </c>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4</v>
      </c>
      <c r="G55" s="76" t="s">
        <v>538</v>
      </c>
      <c r="H55" s="77" t="s">
        <v>539</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4.8412698412698409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65C8-F624-4703-8C6A-5563CBBE2856}">
  <dimension ref="B2:H66"/>
  <sheetViews>
    <sheetView workbookViewId="0">
      <selection activeCell="G63" sqref="G6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3">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28">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129">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129">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129">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29">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29">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129">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129">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ABFD-AF63-4511-853B-9E3A2A3ED530}">
  <dimension ref="B2:H66"/>
  <sheetViews>
    <sheetView workbookViewId="0">
      <selection activeCell="G1" sqref="G1"/>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72">
        <v>4</v>
      </c>
      <c r="G14" s="73" t="s">
        <v>353</v>
      </c>
      <c r="H14" s="74" t="s">
        <v>529</v>
      </c>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75">
        <v>4</v>
      </c>
      <c r="G16" s="76" t="s">
        <v>353</v>
      </c>
      <c r="H16" s="77" t="s">
        <v>401</v>
      </c>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72">
        <v>4</v>
      </c>
      <c r="G30" s="73" t="s">
        <v>353</v>
      </c>
      <c r="H30" s="74" t="s">
        <v>529</v>
      </c>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72">
        <v>4</v>
      </c>
      <c r="G32" s="73" t="s">
        <v>353</v>
      </c>
      <c r="H32" s="74" t="s">
        <v>529</v>
      </c>
    </row>
    <row r="33" spans="2:8" ht="15.6" x14ac:dyDescent="0.3">
      <c r="B33" s="40" t="s">
        <v>292</v>
      </c>
      <c r="C33" s="28" t="s">
        <v>231</v>
      </c>
      <c r="D33" s="41" t="s">
        <v>294</v>
      </c>
      <c r="E33" s="41" t="s">
        <v>334</v>
      </c>
      <c r="F33" s="144">
        <v>4</v>
      </c>
      <c r="G33" s="145" t="s">
        <v>498</v>
      </c>
      <c r="H33" s="146" t="s">
        <v>544</v>
      </c>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0</v>
      </c>
      <c r="G39" s="76" t="s">
        <v>336</v>
      </c>
      <c r="H39" s="77" t="s">
        <v>337</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0</v>
      </c>
      <c r="G55" s="76" t="s">
        <v>336</v>
      </c>
      <c r="H55" s="77" t="s">
        <v>337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4.7619047619047619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BF1FB-53FB-4881-90EB-D51C4BE5A1F4}">
  <dimension ref="B2:H66"/>
  <sheetViews>
    <sheetView topLeftCell="A26" workbookViewId="0">
      <selection activeCell="F52" sqref="F52"/>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75">
        <v>0</v>
      </c>
      <c r="G39" s="76" t="s">
        <v>336</v>
      </c>
      <c r="H39" s="77" t="s">
        <v>337</v>
      </c>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75">
        <v>0</v>
      </c>
      <c r="G55" s="76" t="s">
        <v>336</v>
      </c>
      <c r="H55" s="77" t="s">
        <v>337</v>
      </c>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4.5238095238095237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43CE-5FFB-4958-84D8-53738212F4DB}">
  <dimension ref="B2:H66"/>
  <sheetViews>
    <sheetView topLeftCell="A29" workbookViewId="0">
      <selection activeCell="G29" sqref="G2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D888-6A22-445C-BBD7-10D0C3FC4B53}">
  <dimension ref="B2:H66"/>
  <sheetViews>
    <sheetView topLeftCell="A29" workbookViewId="0">
      <selection activeCell="G29" sqref="G2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06D2-B723-4C05-865C-106A79A6A2E1}">
  <dimension ref="B2:H66"/>
  <sheetViews>
    <sheetView topLeftCell="A38" workbookViewId="0">
      <selection activeCell="G50" sqref="G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E89C-F706-4235-8369-825AFD5648E8}">
  <dimension ref="B2:H66"/>
  <sheetViews>
    <sheetView topLeftCell="A40" workbookViewId="0">
      <selection activeCell="G50" sqref="G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23E9-41E2-4781-9987-1B0E1D9D82A8}">
  <dimension ref="B2:H66"/>
  <sheetViews>
    <sheetView workbookViewId="0">
      <selection activeCell="F6" sqref="F6:H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0</v>
      </c>
      <c r="G6" s="73" t="s">
        <v>336</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2">
        <v>0</v>
      </c>
      <c r="G22" s="73" t="s">
        <v>336</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129">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129">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129">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29">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29">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129">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129">
        <v>5</v>
      </c>
      <c r="G64" s="34"/>
      <c r="H64" s="35"/>
    </row>
    <row r="65" spans="2:8" ht="15.6" x14ac:dyDescent="0.3">
      <c r="B65" s="48" t="s">
        <v>257</v>
      </c>
      <c r="C65" s="49" t="s">
        <v>220</v>
      </c>
      <c r="D65" s="49" t="s">
        <v>330</v>
      </c>
      <c r="E65" s="49" t="s">
        <v>334</v>
      </c>
      <c r="F65" s="28">
        <v>5</v>
      </c>
      <c r="G65" s="30"/>
      <c r="H65" s="31"/>
    </row>
    <row r="66" spans="2:8" x14ac:dyDescent="0.3">
      <c r="F66">
        <f>AVERAGE(F3:F65)</f>
        <v>4.8412698412698409</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46F9-DACD-4153-AC30-DCE12C9C9695}">
  <dimension ref="B2:H66"/>
  <sheetViews>
    <sheetView workbookViewId="0">
      <selection activeCell="F6" sqref="F6:H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72">
        <v>0</v>
      </c>
      <c r="G6" s="73" t="s">
        <v>336</v>
      </c>
      <c r="H6" s="74" t="s">
        <v>337</v>
      </c>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72">
        <v>0</v>
      </c>
      <c r="G22" s="73" t="s">
        <v>336</v>
      </c>
      <c r="H22" s="74" t="s">
        <v>337</v>
      </c>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129">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129">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129">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129">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129">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129">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129">
        <v>5</v>
      </c>
      <c r="G64" s="34"/>
      <c r="H64" s="35"/>
    </row>
    <row r="65" spans="2:8" ht="15.6" x14ac:dyDescent="0.3">
      <c r="B65" s="48" t="s">
        <v>257</v>
      </c>
      <c r="C65" s="49" t="s">
        <v>220</v>
      </c>
      <c r="D65" s="49" t="s">
        <v>330</v>
      </c>
      <c r="E65" s="49" t="s">
        <v>334</v>
      </c>
      <c r="F65" s="28">
        <v>5</v>
      </c>
      <c r="G65" s="30"/>
      <c r="H65" s="31"/>
    </row>
    <row r="66" spans="2:8" x14ac:dyDescent="0.3">
      <c r="F66">
        <f>AVERAGE(F3:F65)</f>
        <v>4.8412698412698409</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B29A-3DFF-49E9-8396-AD133D1F7873}">
  <dimension ref="B2:H66"/>
  <sheetViews>
    <sheetView topLeftCell="A26" workbookViewId="0">
      <selection activeCell="E33" sqref="E3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144">
        <v>4</v>
      </c>
      <c r="G33" s="145" t="s">
        <v>532</v>
      </c>
      <c r="H33" s="146" t="s">
        <v>545</v>
      </c>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75">
        <v>4</v>
      </c>
      <c r="G53" s="76" t="s">
        <v>353</v>
      </c>
      <c r="H53" s="77" t="s">
        <v>529</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28">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28">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28">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28">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28">
        <v>5</v>
      </c>
      <c r="G64" s="34"/>
      <c r="H64" s="35"/>
    </row>
    <row r="65" spans="2:8" ht="15.6" x14ac:dyDescent="0.3">
      <c r="B65" s="48" t="s">
        <v>257</v>
      </c>
      <c r="C65" s="49" t="s">
        <v>220</v>
      </c>
      <c r="D65" s="49" t="s">
        <v>330</v>
      </c>
      <c r="E65" s="49" t="s">
        <v>334</v>
      </c>
      <c r="F65" s="28">
        <v>5</v>
      </c>
      <c r="G65" s="30"/>
      <c r="H65" s="31"/>
    </row>
    <row r="66" spans="2:8" x14ac:dyDescent="0.3">
      <c r="F66">
        <f>AVERAGE(F3:F65)</f>
        <v>4.9682539682539684</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A6795-FBDB-49F6-B128-DF28A4C3FA98}">
  <sheetPr>
    <tabColor rgb="FFC00000"/>
  </sheetPr>
  <dimension ref="B2:H66"/>
  <sheetViews>
    <sheetView workbookViewId="0">
      <selection activeCell="E33" sqref="E3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144">
        <v>4</v>
      </c>
      <c r="G33" s="145" t="s">
        <v>532</v>
      </c>
      <c r="H33" s="146" t="s">
        <v>545</v>
      </c>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75">
        <v>4</v>
      </c>
      <c r="G53" s="76" t="s">
        <v>353</v>
      </c>
      <c r="H53" s="77" t="s">
        <v>529</v>
      </c>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28">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28">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28">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28">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28">
        <v>5</v>
      </c>
      <c r="G64" s="34"/>
      <c r="H64" s="35"/>
    </row>
    <row r="65" spans="2:8" ht="15.6" x14ac:dyDescent="0.3">
      <c r="B65" s="48" t="s">
        <v>257</v>
      </c>
      <c r="C65" s="49" t="s">
        <v>220</v>
      </c>
      <c r="D65" s="49" t="s">
        <v>330</v>
      </c>
      <c r="E65" s="49" t="s">
        <v>334</v>
      </c>
      <c r="F65" s="28">
        <v>5</v>
      </c>
      <c r="G65" s="30"/>
      <c r="H65" s="31"/>
    </row>
    <row r="66" spans="2:8" x14ac:dyDescent="0.3">
      <c r="F66">
        <f>AVERAGE(F3:F65)</f>
        <v>4.9682539682539684</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74B8-0DAB-4241-9F33-ECAD9730086F}">
  <dimension ref="B2:H66"/>
  <sheetViews>
    <sheetView workbookViewId="0">
      <selection activeCell="G59" sqref="G59"/>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144">
        <v>4</v>
      </c>
      <c r="G33" s="145" t="s">
        <v>510</v>
      </c>
      <c r="H33" s="146"/>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4.9841269841269842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F812-C8F0-47E0-84F8-FB8732432D2F}">
  <dimension ref="B2:H66"/>
  <sheetViews>
    <sheetView workbookViewId="0">
      <selection activeCell="G50" sqref="G50"/>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129">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129">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129">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129">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129">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129">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CB66-00BA-4DFC-8E13-65058BAD7D2B}">
  <dimension ref="B2:H66"/>
  <sheetViews>
    <sheetView topLeftCell="A39" workbookViewId="0">
      <selection activeCell="F50" sqref="F50:F6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1A52-8A5C-4D68-BFF4-D4A8D458FFF6}">
  <dimension ref="B2:H66"/>
  <sheetViews>
    <sheetView topLeftCell="A38" workbookViewId="0">
      <selection activeCell="F66" sqref="F66"/>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0</v>
      </c>
      <c r="G9" s="76" t="s">
        <v>336</v>
      </c>
      <c r="H9" s="77" t="s">
        <v>337</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0</v>
      </c>
      <c r="G25" s="76" t="s">
        <v>336</v>
      </c>
      <c r="H25" s="77" t="s">
        <v>337</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4.5238095238095237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A47E7-CE52-4C71-8521-ACB3631FB7D4}">
  <dimension ref="B2:H66"/>
  <sheetViews>
    <sheetView topLeftCell="A39" workbookViewId="0">
      <selection activeCell="F3" sqref="F3:H65"/>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28">
        <v>5</v>
      </c>
      <c r="G9" s="30"/>
      <c r="H9" s="31"/>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28">
        <v>5</v>
      </c>
      <c r="G25" s="30"/>
      <c r="H25" s="31"/>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v>5</v>
      </c>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040F3-AC48-4FDC-8695-D81983D513D9}">
  <dimension ref="B2:H66"/>
  <sheetViews>
    <sheetView workbookViewId="0">
      <selection activeCell="G73" sqref="G7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5.6" x14ac:dyDescent="0.3">
      <c r="B9" s="32" t="s">
        <v>237</v>
      </c>
      <c r="C9" s="28" t="s">
        <v>235</v>
      </c>
      <c r="D9" s="28" t="s">
        <v>239</v>
      </c>
      <c r="E9" s="28" t="s">
        <v>334</v>
      </c>
      <c r="F9" s="75">
        <v>0</v>
      </c>
      <c r="G9" s="76" t="s">
        <v>336</v>
      </c>
      <c r="H9" s="77" t="s">
        <v>337</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75">
        <v>0</v>
      </c>
      <c r="G11" s="76" t="s">
        <v>336</v>
      </c>
      <c r="H11" s="77" t="s">
        <v>337</v>
      </c>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37">
        <v>5</v>
      </c>
      <c r="G16" s="38"/>
      <c r="H16" s="39"/>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0</v>
      </c>
      <c r="G25" s="76" t="s">
        <v>336</v>
      </c>
      <c r="H25" s="77" t="s">
        <v>337</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75">
        <v>0</v>
      </c>
      <c r="G27" s="76" t="s">
        <v>336</v>
      </c>
      <c r="H27" s="77" t="s">
        <v>337</v>
      </c>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37">
        <v>5</v>
      </c>
      <c r="G32" s="38"/>
      <c r="H32" s="39"/>
    </row>
    <row r="33" spans="2:8" ht="15.6" x14ac:dyDescent="0.3">
      <c r="B33" s="40" t="s">
        <v>292</v>
      </c>
      <c r="C33" s="28" t="s">
        <v>231</v>
      </c>
      <c r="D33" s="41" t="s">
        <v>294</v>
      </c>
      <c r="E33" s="41" t="s">
        <v>334</v>
      </c>
      <c r="F33" s="70">
        <v>5</v>
      </c>
      <c r="G33" s="69"/>
      <c r="H33" s="71"/>
    </row>
    <row r="34" spans="2:8" ht="15.6" x14ac:dyDescent="0.3">
      <c r="B34" s="32" t="s">
        <v>295</v>
      </c>
      <c r="C34" s="33" t="s">
        <v>231</v>
      </c>
      <c r="D34" s="33" t="s">
        <v>297</v>
      </c>
      <c r="E34" s="33" t="s">
        <v>334</v>
      </c>
      <c r="F34" s="33">
        <v>5</v>
      </c>
      <c r="G34" s="34"/>
      <c r="H34" s="35"/>
    </row>
    <row r="35" spans="2:8" ht="16.2" thickBot="1" x14ac:dyDescent="0.35">
      <c r="B35" s="36" t="s">
        <v>298</v>
      </c>
      <c r="C35" s="28" t="s">
        <v>231</v>
      </c>
      <c r="D35" s="45" t="s">
        <v>300</v>
      </c>
      <c r="E35" s="45" t="s">
        <v>334</v>
      </c>
      <c r="F35" s="45">
        <v>5</v>
      </c>
      <c r="G35" s="46"/>
      <c r="H35" s="47"/>
    </row>
    <row r="36" spans="2:8" ht="15.6" x14ac:dyDescent="0.3">
      <c r="B36" s="40" t="s">
        <v>214</v>
      </c>
      <c r="C36" s="33"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75">
        <v>0</v>
      </c>
      <c r="G42" s="76" t="s">
        <v>336</v>
      </c>
      <c r="H42" s="77" t="s">
        <v>337</v>
      </c>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75">
        <v>0</v>
      </c>
      <c r="G44" s="76" t="s">
        <v>336</v>
      </c>
      <c r="H44" s="77" t="s">
        <v>337</v>
      </c>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45"/>
      <c r="G49" s="46"/>
      <c r="H49" s="47"/>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75">
        <v>0</v>
      </c>
      <c r="G58" s="76" t="s">
        <v>336</v>
      </c>
      <c r="H58" s="77" t="s">
        <v>337</v>
      </c>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75">
        <v>0</v>
      </c>
      <c r="G60" s="76" t="s">
        <v>336</v>
      </c>
      <c r="H60" s="77" t="s">
        <v>337</v>
      </c>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5.6" x14ac:dyDescent="0.3">
      <c r="B65" s="48" t="s">
        <v>257</v>
      </c>
      <c r="C65" s="49" t="s">
        <v>220</v>
      </c>
      <c r="D65" s="49" t="s">
        <v>330</v>
      </c>
      <c r="E65" s="49" t="s">
        <v>334</v>
      </c>
      <c r="F65" s="28">
        <v>5</v>
      </c>
      <c r="G65" s="30"/>
      <c r="H65" s="31"/>
    </row>
    <row r="66" spans="2:8" x14ac:dyDescent="0.3">
      <c r="F66">
        <f>AVERAGE(F3:F65)</f>
        <v>4.354838709677419</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F1FE-D061-4DD7-A977-4D3D70BD6914}">
  <dimension ref="B2:H66"/>
  <sheetViews>
    <sheetView workbookViewId="0">
      <selection activeCell="B27" sqref="B27"/>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t="s">
        <v>334</v>
      </c>
      <c r="F3" s="28">
        <v>5</v>
      </c>
      <c r="G3" s="30"/>
      <c r="H3" s="31"/>
    </row>
    <row r="4" spans="2:8" ht="15.6" x14ac:dyDescent="0.3">
      <c r="B4" s="32" t="s">
        <v>218</v>
      </c>
      <c r="C4" s="33" t="s">
        <v>220</v>
      </c>
      <c r="D4" s="33" t="s">
        <v>221</v>
      </c>
      <c r="E4" s="33" t="s">
        <v>334</v>
      </c>
      <c r="F4" s="33">
        <v>5</v>
      </c>
      <c r="G4" s="34"/>
      <c r="H4" s="35"/>
    </row>
    <row r="5" spans="2:8" ht="15.6" x14ac:dyDescent="0.3">
      <c r="B5" s="32" t="s">
        <v>222</v>
      </c>
      <c r="C5" s="28" t="s">
        <v>224</v>
      </c>
      <c r="D5" s="28" t="s">
        <v>225</v>
      </c>
      <c r="E5" s="28" t="s">
        <v>334</v>
      </c>
      <c r="F5" s="28">
        <v>5</v>
      </c>
      <c r="G5" s="30"/>
      <c r="H5" s="31"/>
    </row>
    <row r="6" spans="2:8" ht="15.6" x14ac:dyDescent="0.3">
      <c r="B6" s="32" t="s">
        <v>226</v>
      </c>
      <c r="C6" s="33" t="s">
        <v>216</v>
      </c>
      <c r="D6" s="33" t="s">
        <v>228</v>
      </c>
      <c r="E6" s="33" t="s">
        <v>334</v>
      </c>
      <c r="F6" s="33">
        <v>5</v>
      </c>
      <c r="G6" s="34"/>
      <c r="H6" s="35"/>
    </row>
    <row r="7" spans="2:8" ht="15.6" x14ac:dyDescent="0.3">
      <c r="B7" s="32" t="s">
        <v>229</v>
      </c>
      <c r="C7" s="28" t="s">
        <v>231</v>
      </c>
      <c r="D7" s="28" t="s">
        <v>232</v>
      </c>
      <c r="E7" s="28" t="s">
        <v>334</v>
      </c>
      <c r="F7" s="28">
        <v>5</v>
      </c>
      <c r="G7" s="30"/>
      <c r="H7" s="31"/>
    </row>
    <row r="8" spans="2:8" ht="15.6" x14ac:dyDescent="0.3">
      <c r="B8" s="32" t="s">
        <v>233</v>
      </c>
      <c r="C8" s="33" t="s">
        <v>235</v>
      </c>
      <c r="D8" s="33" t="s">
        <v>236</v>
      </c>
      <c r="E8" s="33" t="s">
        <v>334</v>
      </c>
      <c r="F8" s="33">
        <v>5</v>
      </c>
      <c r="G8" s="34"/>
      <c r="H8" s="35"/>
    </row>
    <row r="9" spans="2:8" ht="16.2" thickBot="1" x14ac:dyDescent="0.35">
      <c r="B9" s="32" t="s">
        <v>237</v>
      </c>
      <c r="C9" s="28" t="s">
        <v>235</v>
      </c>
      <c r="D9" s="28" t="s">
        <v>239</v>
      </c>
      <c r="E9" s="28" t="s">
        <v>334</v>
      </c>
      <c r="F9" s="126">
        <v>4</v>
      </c>
      <c r="G9" s="127"/>
      <c r="H9" s="128" t="s">
        <v>428</v>
      </c>
    </row>
    <row r="10" spans="2:8" ht="15.6" x14ac:dyDescent="0.3">
      <c r="B10" s="32" t="s">
        <v>240</v>
      </c>
      <c r="C10" s="33" t="s">
        <v>220</v>
      </c>
      <c r="D10" s="33" t="s">
        <v>242</v>
      </c>
      <c r="E10" s="33" t="s">
        <v>334</v>
      </c>
      <c r="F10" s="33">
        <v>5</v>
      </c>
      <c r="G10" s="34"/>
      <c r="H10" s="35"/>
    </row>
    <row r="11" spans="2:8" ht="15.6" x14ac:dyDescent="0.3">
      <c r="B11" s="32" t="s">
        <v>243</v>
      </c>
      <c r="C11" s="28" t="s">
        <v>235</v>
      </c>
      <c r="D11" s="28" t="s">
        <v>244</v>
      </c>
      <c r="E11" s="28" t="s">
        <v>334</v>
      </c>
      <c r="F11" s="28">
        <v>5</v>
      </c>
      <c r="G11" s="30"/>
      <c r="H11" s="31"/>
    </row>
    <row r="12" spans="2:8" ht="15.6" x14ac:dyDescent="0.3">
      <c r="B12" s="32" t="s">
        <v>245</v>
      </c>
      <c r="C12" s="33" t="s">
        <v>216</v>
      </c>
      <c r="D12" s="33" t="s">
        <v>247</v>
      </c>
      <c r="E12" s="33" t="s">
        <v>334</v>
      </c>
      <c r="F12" s="33">
        <v>5</v>
      </c>
      <c r="G12" s="34"/>
      <c r="H12" s="35"/>
    </row>
    <row r="13" spans="2:8" ht="15.6" x14ac:dyDescent="0.3">
      <c r="B13" s="32" t="s">
        <v>248</v>
      </c>
      <c r="C13" s="28" t="s">
        <v>340</v>
      </c>
      <c r="D13" s="28" t="s">
        <v>251</v>
      </c>
      <c r="E13" s="28" t="s">
        <v>334</v>
      </c>
      <c r="F13" s="28">
        <v>5</v>
      </c>
      <c r="G13" s="30"/>
      <c r="H13" s="31"/>
    </row>
    <row r="14" spans="2:8" ht="15.6" x14ac:dyDescent="0.3">
      <c r="B14" s="32" t="s">
        <v>252</v>
      </c>
      <c r="C14" s="33" t="s">
        <v>216</v>
      </c>
      <c r="D14" s="33" t="s">
        <v>254</v>
      </c>
      <c r="E14" s="33" t="s">
        <v>334</v>
      </c>
      <c r="F14" s="33">
        <v>5</v>
      </c>
      <c r="G14" s="34"/>
      <c r="H14" s="35"/>
    </row>
    <row r="15" spans="2:8" ht="15.6" x14ac:dyDescent="0.3">
      <c r="B15" s="32" t="s">
        <v>255</v>
      </c>
      <c r="C15" s="28" t="s">
        <v>231</v>
      </c>
      <c r="D15" s="28" t="s">
        <v>256</v>
      </c>
      <c r="E15" s="28" t="s">
        <v>334</v>
      </c>
      <c r="F15" s="28">
        <v>5</v>
      </c>
      <c r="G15" s="30"/>
      <c r="H15" s="31"/>
    </row>
    <row r="16" spans="2:8" ht="16.2" thickBot="1" x14ac:dyDescent="0.35">
      <c r="B16" s="36" t="s">
        <v>257</v>
      </c>
      <c r="C16" s="37" t="s">
        <v>220</v>
      </c>
      <c r="D16" s="37" t="s">
        <v>259</v>
      </c>
      <c r="E16" s="37" t="s">
        <v>334</v>
      </c>
      <c r="F16" s="126">
        <v>4</v>
      </c>
      <c r="G16" s="127"/>
      <c r="H16" s="128" t="s">
        <v>428</v>
      </c>
    </row>
    <row r="17" spans="2:8" ht="15.6" x14ac:dyDescent="0.3">
      <c r="B17" s="40" t="s">
        <v>214</v>
      </c>
      <c r="C17" s="41" t="s">
        <v>261</v>
      </c>
      <c r="D17" s="41" t="s">
        <v>262</v>
      </c>
      <c r="E17" s="41" t="s">
        <v>334</v>
      </c>
      <c r="F17" s="70">
        <v>5</v>
      </c>
      <c r="G17" s="69"/>
      <c r="H17" s="71"/>
    </row>
    <row r="18" spans="2:8" ht="15.6" x14ac:dyDescent="0.3">
      <c r="B18" s="32" t="s">
        <v>263</v>
      </c>
      <c r="C18" s="33" t="s">
        <v>235</v>
      </c>
      <c r="D18" s="33" t="s">
        <v>265</v>
      </c>
      <c r="E18" s="33" t="s">
        <v>334</v>
      </c>
      <c r="F18" s="33">
        <v>5</v>
      </c>
      <c r="G18" s="34"/>
      <c r="H18" s="35"/>
    </row>
    <row r="19" spans="2:8" ht="15.6" x14ac:dyDescent="0.3">
      <c r="B19" s="32" t="s">
        <v>222</v>
      </c>
      <c r="C19" s="28" t="s">
        <v>224</v>
      </c>
      <c r="D19" s="28" t="s">
        <v>266</v>
      </c>
      <c r="E19" s="28" t="s">
        <v>334</v>
      </c>
      <c r="F19" s="28">
        <v>5</v>
      </c>
      <c r="G19" s="30"/>
      <c r="H19" s="31"/>
    </row>
    <row r="20" spans="2:8" ht="15.6" x14ac:dyDescent="0.3">
      <c r="B20" s="32" t="s">
        <v>267</v>
      </c>
      <c r="C20" s="33" t="s">
        <v>231</v>
      </c>
      <c r="D20" s="33" t="s">
        <v>269</v>
      </c>
      <c r="E20" s="33" t="s">
        <v>334</v>
      </c>
      <c r="F20" s="33">
        <v>5</v>
      </c>
      <c r="G20" s="34"/>
      <c r="H20" s="35"/>
    </row>
    <row r="21" spans="2:8" ht="15.6" x14ac:dyDescent="0.3">
      <c r="B21" s="32" t="s">
        <v>270</v>
      </c>
      <c r="C21" s="28" t="s">
        <v>231</v>
      </c>
      <c r="D21" s="28" t="s">
        <v>272</v>
      </c>
      <c r="E21" s="28" t="s">
        <v>334</v>
      </c>
      <c r="F21" s="28">
        <v>5</v>
      </c>
      <c r="G21" s="30"/>
      <c r="H21" s="31"/>
    </row>
    <row r="22" spans="2:8" ht="15.6" x14ac:dyDescent="0.3">
      <c r="B22" s="32" t="s">
        <v>226</v>
      </c>
      <c r="C22" s="33" t="s">
        <v>261</v>
      </c>
      <c r="D22" s="33" t="s">
        <v>274</v>
      </c>
      <c r="E22" s="33" t="s">
        <v>334</v>
      </c>
      <c r="F22" s="33">
        <v>5</v>
      </c>
      <c r="G22" s="34"/>
      <c r="H22" s="35"/>
    </row>
    <row r="23" spans="2:8" ht="15.6" x14ac:dyDescent="0.3">
      <c r="B23" s="32" t="s">
        <v>229</v>
      </c>
      <c r="C23" s="28" t="s">
        <v>231</v>
      </c>
      <c r="D23" s="28" t="s">
        <v>275</v>
      </c>
      <c r="E23" s="28" t="s">
        <v>334</v>
      </c>
      <c r="F23" s="28">
        <v>5</v>
      </c>
      <c r="G23" s="30"/>
      <c r="H23" s="31"/>
    </row>
    <row r="24" spans="2:8" ht="15.6" x14ac:dyDescent="0.3">
      <c r="B24" s="32" t="s">
        <v>233</v>
      </c>
      <c r="C24" s="33" t="s">
        <v>235</v>
      </c>
      <c r="D24" s="33" t="s">
        <v>277</v>
      </c>
      <c r="E24" s="33" t="s">
        <v>334</v>
      </c>
      <c r="F24" s="33">
        <v>5</v>
      </c>
      <c r="G24" s="34"/>
      <c r="H24" s="35"/>
    </row>
    <row r="25" spans="2:8" ht="15.6" x14ac:dyDescent="0.3">
      <c r="B25" s="32" t="s">
        <v>237</v>
      </c>
      <c r="C25" s="28" t="s">
        <v>235</v>
      </c>
      <c r="D25" s="28" t="s">
        <v>279</v>
      </c>
      <c r="E25" s="28" t="s">
        <v>334</v>
      </c>
      <c r="F25" s="75">
        <v>2</v>
      </c>
      <c r="G25" s="76"/>
      <c r="H25" s="77" t="s">
        <v>546</v>
      </c>
    </row>
    <row r="26" spans="2:8" ht="15.6" x14ac:dyDescent="0.3">
      <c r="B26" s="32" t="s">
        <v>240</v>
      </c>
      <c r="C26" s="33" t="s">
        <v>220</v>
      </c>
      <c r="D26" s="33" t="s">
        <v>281</v>
      </c>
      <c r="E26" s="33" t="s">
        <v>334</v>
      </c>
      <c r="F26" s="33">
        <v>5</v>
      </c>
      <c r="G26" s="34"/>
      <c r="H26" s="35"/>
    </row>
    <row r="27" spans="2:8" ht="15.6" x14ac:dyDescent="0.3">
      <c r="B27" s="32" t="s">
        <v>243</v>
      </c>
      <c r="C27" s="28" t="s">
        <v>235</v>
      </c>
      <c r="D27" s="28" t="s">
        <v>283</v>
      </c>
      <c r="E27" s="28" t="s">
        <v>334</v>
      </c>
      <c r="F27" s="28">
        <v>5</v>
      </c>
      <c r="G27" s="30"/>
      <c r="H27" s="31"/>
    </row>
    <row r="28" spans="2:8" ht="15.6" x14ac:dyDescent="0.3">
      <c r="B28" s="32" t="s">
        <v>245</v>
      </c>
      <c r="C28" s="33" t="s">
        <v>261</v>
      </c>
      <c r="D28" s="33" t="s">
        <v>284</v>
      </c>
      <c r="E28" s="33" t="s">
        <v>334</v>
      </c>
      <c r="F28" s="33">
        <v>5</v>
      </c>
      <c r="G28" s="34"/>
      <c r="H28" s="35"/>
    </row>
    <row r="29" spans="2:8" ht="15.6" x14ac:dyDescent="0.3">
      <c r="B29" s="32" t="s">
        <v>248</v>
      </c>
      <c r="C29" s="28" t="s">
        <v>335</v>
      </c>
      <c r="D29" s="28" t="s">
        <v>287</v>
      </c>
      <c r="E29" s="28" t="s">
        <v>334</v>
      </c>
      <c r="F29" s="28">
        <v>5</v>
      </c>
      <c r="G29" s="30"/>
      <c r="H29" s="31"/>
    </row>
    <row r="30" spans="2:8" ht="15.6" x14ac:dyDescent="0.3">
      <c r="B30" s="32" t="s">
        <v>252</v>
      </c>
      <c r="C30" s="33" t="s">
        <v>261</v>
      </c>
      <c r="D30" s="33" t="s">
        <v>288</v>
      </c>
      <c r="E30" s="33" t="s">
        <v>334</v>
      </c>
      <c r="F30" s="33">
        <v>5</v>
      </c>
      <c r="G30" s="34"/>
      <c r="H30" s="35"/>
    </row>
    <row r="31" spans="2:8" ht="15.6" x14ac:dyDescent="0.3">
      <c r="B31" s="32" t="s">
        <v>255</v>
      </c>
      <c r="C31" s="28" t="s">
        <v>231</v>
      </c>
      <c r="D31" s="28" t="s">
        <v>289</v>
      </c>
      <c r="E31" s="28" t="s">
        <v>334</v>
      </c>
      <c r="F31" s="28">
        <v>5</v>
      </c>
      <c r="G31" s="30"/>
      <c r="H31" s="31"/>
    </row>
    <row r="32" spans="2:8" ht="16.2" thickBot="1" x14ac:dyDescent="0.35">
      <c r="B32" s="36" t="s">
        <v>257</v>
      </c>
      <c r="C32" s="37" t="s">
        <v>220</v>
      </c>
      <c r="D32" s="37" t="s">
        <v>291</v>
      </c>
      <c r="E32" s="37" t="s">
        <v>334</v>
      </c>
      <c r="F32" s="126">
        <v>2</v>
      </c>
      <c r="G32" s="126">
        <v>2</v>
      </c>
      <c r="H32" s="127" t="s">
        <v>547</v>
      </c>
    </row>
    <row r="33" spans="2:8" ht="15.6" x14ac:dyDescent="0.3">
      <c r="B33" s="40" t="s">
        <v>292</v>
      </c>
      <c r="C33" s="28" t="s">
        <v>231</v>
      </c>
      <c r="D33" s="41" t="s">
        <v>294</v>
      </c>
      <c r="E33" s="41" t="s">
        <v>334</v>
      </c>
      <c r="F33" s="70">
        <v>5</v>
      </c>
      <c r="G33" s="69"/>
      <c r="H33" s="71"/>
    </row>
    <row r="34" spans="2:8" ht="15.6" x14ac:dyDescent="0.3">
      <c r="B34" s="32" t="s">
        <v>295</v>
      </c>
      <c r="C34" s="149" t="s">
        <v>231</v>
      </c>
      <c r="D34" s="33" t="s">
        <v>297</v>
      </c>
      <c r="E34" s="33" t="s">
        <v>334</v>
      </c>
      <c r="F34" s="33">
        <v>5</v>
      </c>
      <c r="G34" s="34"/>
      <c r="H34" s="35"/>
    </row>
    <row r="35" spans="2:8" ht="15.6" x14ac:dyDescent="0.3">
      <c r="B35" s="36" t="s">
        <v>298</v>
      </c>
      <c r="C35" s="150" t="s">
        <v>231</v>
      </c>
      <c r="D35" s="45" t="s">
        <v>300</v>
      </c>
      <c r="E35" s="45" t="s">
        <v>334</v>
      </c>
      <c r="F35" s="45">
        <v>5</v>
      </c>
      <c r="G35" s="46"/>
      <c r="H35" s="47"/>
    </row>
    <row r="36" spans="2:8" ht="15.6" x14ac:dyDescent="0.3">
      <c r="B36" s="40" t="s">
        <v>214</v>
      </c>
      <c r="C36" s="129" t="s">
        <v>216</v>
      </c>
      <c r="D36" s="43" t="s">
        <v>301</v>
      </c>
      <c r="E36" s="43" t="s">
        <v>334</v>
      </c>
      <c r="F36" s="129">
        <v>5</v>
      </c>
      <c r="G36" s="130"/>
      <c r="H36" s="131"/>
    </row>
    <row r="37" spans="2:8" ht="15.6" x14ac:dyDescent="0.3">
      <c r="B37" s="32" t="s">
        <v>218</v>
      </c>
      <c r="C37" s="28" t="s">
        <v>220</v>
      </c>
      <c r="D37" s="28" t="s">
        <v>302</v>
      </c>
      <c r="E37" s="28" t="s">
        <v>334</v>
      </c>
      <c r="F37" s="28">
        <v>5</v>
      </c>
      <c r="G37" s="30"/>
      <c r="H37" s="31"/>
    </row>
    <row r="38" spans="2:8" ht="15.6" x14ac:dyDescent="0.3">
      <c r="B38" s="32" t="s">
        <v>222</v>
      </c>
      <c r="C38" s="33" t="s">
        <v>224</v>
      </c>
      <c r="D38" s="33" t="s">
        <v>303</v>
      </c>
      <c r="E38" s="33" t="s">
        <v>334</v>
      </c>
      <c r="F38" s="33">
        <v>5</v>
      </c>
      <c r="G38" s="34"/>
      <c r="H38" s="35"/>
    </row>
    <row r="39" spans="2:8" ht="15.6" x14ac:dyDescent="0.3">
      <c r="B39" s="32" t="s">
        <v>226</v>
      </c>
      <c r="C39" s="28" t="s">
        <v>216</v>
      </c>
      <c r="D39" s="28" t="s">
        <v>304</v>
      </c>
      <c r="E39" s="28" t="s">
        <v>334</v>
      </c>
      <c r="F39" s="28">
        <v>5</v>
      </c>
      <c r="G39" s="30"/>
      <c r="H39" s="31"/>
    </row>
    <row r="40" spans="2:8" ht="15.6" x14ac:dyDescent="0.3">
      <c r="B40" s="32" t="s">
        <v>229</v>
      </c>
      <c r="C40" s="33" t="s">
        <v>231</v>
      </c>
      <c r="D40" s="33" t="s">
        <v>305</v>
      </c>
      <c r="E40" s="33" t="s">
        <v>334</v>
      </c>
      <c r="F40" s="33">
        <v>5</v>
      </c>
      <c r="G40" s="34"/>
      <c r="H40" s="35"/>
    </row>
    <row r="41" spans="2:8" ht="15.6" x14ac:dyDescent="0.3">
      <c r="B41" s="32" t="s">
        <v>233</v>
      </c>
      <c r="C41" s="28" t="s">
        <v>235</v>
      </c>
      <c r="D41" s="28" t="s">
        <v>306</v>
      </c>
      <c r="E41" s="28" t="s">
        <v>334</v>
      </c>
      <c r="F41" s="28">
        <v>5</v>
      </c>
      <c r="G41" s="30"/>
      <c r="H41" s="31"/>
    </row>
    <row r="42" spans="2:8" ht="15.6" x14ac:dyDescent="0.3">
      <c r="B42" s="32" t="s">
        <v>237</v>
      </c>
      <c r="C42" s="33" t="s">
        <v>235</v>
      </c>
      <c r="D42" s="33" t="s">
        <v>307</v>
      </c>
      <c r="E42" s="33" t="s">
        <v>334</v>
      </c>
      <c r="F42" s="33">
        <v>5</v>
      </c>
      <c r="G42" s="34"/>
      <c r="H42" s="35"/>
    </row>
    <row r="43" spans="2:8" ht="15.6" x14ac:dyDescent="0.3">
      <c r="B43" s="32" t="s">
        <v>240</v>
      </c>
      <c r="C43" s="28" t="s">
        <v>220</v>
      </c>
      <c r="D43" s="28" t="s">
        <v>308</v>
      </c>
      <c r="E43" s="28" t="s">
        <v>334</v>
      </c>
      <c r="F43" s="28">
        <v>5</v>
      </c>
      <c r="G43" s="30"/>
      <c r="H43" s="31"/>
    </row>
    <row r="44" spans="2:8" ht="15.6" x14ac:dyDescent="0.3">
      <c r="B44" s="32" t="s">
        <v>243</v>
      </c>
      <c r="C44" s="33" t="s">
        <v>235</v>
      </c>
      <c r="D44" s="33" t="s">
        <v>309</v>
      </c>
      <c r="E44" s="33" t="s">
        <v>334</v>
      </c>
      <c r="F44" s="33">
        <v>5</v>
      </c>
      <c r="G44" s="34"/>
      <c r="H44" s="35"/>
    </row>
    <row r="45" spans="2:8" ht="15.6" x14ac:dyDescent="0.3">
      <c r="B45" s="32" t="s">
        <v>245</v>
      </c>
      <c r="C45" s="28" t="s">
        <v>216</v>
      </c>
      <c r="D45" s="28" t="s">
        <v>310</v>
      </c>
      <c r="E45" s="28" t="s">
        <v>334</v>
      </c>
      <c r="F45" s="28">
        <v>5</v>
      </c>
      <c r="G45" s="30"/>
      <c r="H45" s="31"/>
    </row>
    <row r="46" spans="2:8" ht="15.6" x14ac:dyDescent="0.3">
      <c r="B46" s="32" t="s">
        <v>248</v>
      </c>
      <c r="C46" s="33" t="s">
        <v>340</v>
      </c>
      <c r="D46" s="33" t="s">
        <v>311</v>
      </c>
      <c r="E46" s="33" t="s">
        <v>334</v>
      </c>
      <c r="F46" s="33">
        <v>5</v>
      </c>
      <c r="G46" s="34"/>
      <c r="H46" s="35"/>
    </row>
    <row r="47" spans="2:8" ht="15.6" x14ac:dyDescent="0.3">
      <c r="B47" s="32" t="s">
        <v>252</v>
      </c>
      <c r="C47" s="28" t="s">
        <v>216</v>
      </c>
      <c r="D47" s="28" t="s">
        <v>312</v>
      </c>
      <c r="E47" s="28" t="s">
        <v>334</v>
      </c>
      <c r="F47" s="28">
        <v>5</v>
      </c>
      <c r="G47" s="30"/>
      <c r="H47" s="31"/>
    </row>
    <row r="48" spans="2:8" ht="15.6" x14ac:dyDescent="0.3">
      <c r="B48" s="32" t="s">
        <v>255</v>
      </c>
      <c r="C48" s="33" t="s">
        <v>231</v>
      </c>
      <c r="D48" s="33" t="s">
        <v>313</v>
      </c>
      <c r="E48" s="33" t="s">
        <v>334</v>
      </c>
      <c r="F48" s="33">
        <v>5</v>
      </c>
      <c r="G48" s="34"/>
      <c r="H48" s="35"/>
    </row>
    <row r="49" spans="2:8" ht="16.2" thickBot="1" x14ac:dyDescent="0.35">
      <c r="B49" s="36" t="s">
        <v>257</v>
      </c>
      <c r="C49" s="45" t="s">
        <v>220</v>
      </c>
      <c r="D49" s="45" t="s">
        <v>314</v>
      </c>
      <c r="E49" s="45" t="s">
        <v>334</v>
      </c>
      <c r="F49" s="126">
        <v>2</v>
      </c>
      <c r="G49" s="126">
        <v>2</v>
      </c>
      <c r="H49" s="127" t="s">
        <v>547</v>
      </c>
    </row>
    <row r="50" spans="2:8" ht="15.6" x14ac:dyDescent="0.3">
      <c r="B50" s="40" t="s">
        <v>214</v>
      </c>
      <c r="C50" s="43" t="s">
        <v>261</v>
      </c>
      <c r="D50" s="43" t="s">
        <v>315</v>
      </c>
      <c r="E50" s="43" t="s">
        <v>334</v>
      </c>
      <c r="F50" s="129">
        <v>5</v>
      </c>
      <c r="G50" s="130"/>
      <c r="H50" s="131"/>
    </row>
    <row r="51" spans="2:8" ht="15.6" x14ac:dyDescent="0.3">
      <c r="B51" s="32" t="s">
        <v>263</v>
      </c>
      <c r="C51" s="28" t="s">
        <v>235</v>
      </c>
      <c r="D51" s="28" t="s">
        <v>316</v>
      </c>
      <c r="E51" s="28" t="s">
        <v>334</v>
      </c>
      <c r="F51" s="28">
        <v>5</v>
      </c>
      <c r="G51" s="30"/>
      <c r="H51" s="31"/>
    </row>
    <row r="52" spans="2:8" ht="15.6" x14ac:dyDescent="0.3">
      <c r="B52" s="32" t="s">
        <v>222</v>
      </c>
      <c r="C52" s="33" t="s">
        <v>224</v>
      </c>
      <c r="D52" s="33" t="s">
        <v>317</v>
      </c>
      <c r="E52" s="33" t="s">
        <v>334</v>
      </c>
      <c r="F52" s="33">
        <v>5</v>
      </c>
      <c r="G52" s="34"/>
      <c r="H52" s="35"/>
    </row>
    <row r="53" spans="2:8" ht="15.6" x14ac:dyDescent="0.3">
      <c r="B53" s="32" t="s">
        <v>267</v>
      </c>
      <c r="C53" s="28" t="s">
        <v>231</v>
      </c>
      <c r="D53" s="28" t="s">
        <v>318</v>
      </c>
      <c r="E53" s="28" t="s">
        <v>334</v>
      </c>
      <c r="F53" s="28">
        <v>5</v>
      </c>
      <c r="G53" s="30"/>
      <c r="H53" s="31"/>
    </row>
    <row r="54" spans="2:8" ht="15.6" x14ac:dyDescent="0.3">
      <c r="B54" s="32" t="s">
        <v>270</v>
      </c>
      <c r="C54" s="33" t="s">
        <v>231</v>
      </c>
      <c r="D54" s="33" t="s">
        <v>319</v>
      </c>
      <c r="E54" s="33" t="s">
        <v>334</v>
      </c>
      <c r="F54" s="33">
        <v>5</v>
      </c>
      <c r="G54" s="34"/>
      <c r="H54" s="35"/>
    </row>
    <row r="55" spans="2:8" ht="15.6" x14ac:dyDescent="0.3">
      <c r="B55" s="32" t="s">
        <v>226</v>
      </c>
      <c r="C55" s="28" t="s">
        <v>261</v>
      </c>
      <c r="D55" s="28" t="s">
        <v>320</v>
      </c>
      <c r="E55" s="28" t="s">
        <v>334</v>
      </c>
      <c r="F55" s="28">
        <v>5</v>
      </c>
      <c r="G55" s="30"/>
      <c r="H55" s="31"/>
    </row>
    <row r="56" spans="2:8" ht="15.6" x14ac:dyDescent="0.3">
      <c r="B56" s="32" t="s">
        <v>229</v>
      </c>
      <c r="C56" s="33" t="s">
        <v>231</v>
      </c>
      <c r="D56" s="33" t="s">
        <v>321</v>
      </c>
      <c r="E56" s="33" t="s">
        <v>334</v>
      </c>
      <c r="F56" s="33">
        <v>5</v>
      </c>
      <c r="G56" s="34"/>
      <c r="H56" s="35"/>
    </row>
    <row r="57" spans="2:8" ht="15.6" x14ac:dyDescent="0.3">
      <c r="B57" s="32" t="s">
        <v>233</v>
      </c>
      <c r="C57" s="28" t="s">
        <v>235</v>
      </c>
      <c r="D57" s="28" t="s">
        <v>322</v>
      </c>
      <c r="E57" s="28" t="s">
        <v>334</v>
      </c>
      <c r="F57" s="28">
        <v>5</v>
      </c>
      <c r="G57" s="30"/>
      <c r="H57" s="31"/>
    </row>
    <row r="58" spans="2:8" ht="15.6" x14ac:dyDescent="0.3">
      <c r="B58" s="32" t="s">
        <v>237</v>
      </c>
      <c r="C58" s="33" t="s">
        <v>235</v>
      </c>
      <c r="D58" s="33" t="s">
        <v>323</v>
      </c>
      <c r="E58" s="33" t="s">
        <v>334</v>
      </c>
      <c r="F58" s="33">
        <v>5</v>
      </c>
      <c r="G58" s="34"/>
      <c r="H58" s="35"/>
    </row>
    <row r="59" spans="2:8" ht="15.6" x14ac:dyDescent="0.3">
      <c r="B59" s="32" t="s">
        <v>240</v>
      </c>
      <c r="C59" s="28" t="s">
        <v>220</v>
      </c>
      <c r="D59" s="28" t="s">
        <v>324</v>
      </c>
      <c r="E59" s="28" t="s">
        <v>334</v>
      </c>
      <c r="F59" s="28">
        <v>5</v>
      </c>
      <c r="G59" s="30"/>
      <c r="H59" s="31"/>
    </row>
    <row r="60" spans="2:8" ht="15.6" x14ac:dyDescent="0.3">
      <c r="B60" s="32" t="s">
        <v>243</v>
      </c>
      <c r="C60" s="33" t="s">
        <v>231</v>
      </c>
      <c r="D60" s="33" t="s">
        <v>325</v>
      </c>
      <c r="E60" s="33" t="s">
        <v>334</v>
      </c>
      <c r="F60" s="33">
        <v>5</v>
      </c>
      <c r="G60" s="34"/>
      <c r="H60" s="35"/>
    </row>
    <row r="61" spans="2:8" ht="15.6" x14ac:dyDescent="0.3">
      <c r="B61" s="32" t="s">
        <v>245</v>
      </c>
      <c r="C61" s="28" t="s">
        <v>261</v>
      </c>
      <c r="D61" s="28" t="s">
        <v>326</v>
      </c>
      <c r="E61" s="28" t="s">
        <v>334</v>
      </c>
      <c r="F61" s="28">
        <v>5</v>
      </c>
      <c r="G61" s="30"/>
      <c r="H61" s="31"/>
    </row>
    <row r="62" spans="2:8" ht="15.6" x14ac:dyDescent="0.3">
      <c r="B62" s="32" t="s">
        <v>248</v>
      </c>
      <c r="C62" s="33" t="s">
        <v>335</v>
      </c>
      <c r="D62" s="33" t="s">
        <v>327</v>
      </c>
      <c r="E62" s="33" t="s">
        <v>334</v>
      </c>
      <c r="F62" s="33">
        <v>5</v>
      </c>
      <c r="G62" s="34"/>
      <c r="H62" s="35"/>
    </row>
    <row r="63" spans="2:8" ht="15.6" x14ac:dyDescent="0.3">
      <c r="B63" s="32" t="s">
        <v>252</v>
      </c>
      <c r="C63" s="28" t="s">
        <v>261</v>
      </c>
      <c r="D63" s="28" t="s">
        <v>328</v>
      </c>
      <c r="E63" s="28" t="s">
        <v>334</v>
      </c>
      <c r="F63" s="28">
        <v>5</v>
      </c>
      <c r="G63" s="30"/>
      <c r="H63" s="31"/>
    </row>
    <row r="64" spans="2:8" ht="15.6" x14ac:dyDescent="0.3">
      <c r="B64" s="32" t="s">
        <v>255</v>
      </c>
      <c r="C64" s="33" t="s">
        <v>231</v>
      </c>
      <c r="D64" s="33" t="s">
        <v>329</v>
      </c>
      <c r="E64" s="33" t="s">
        <v>334</v>
      </c>
      <c r="F64" s="33">
        <v>5</v>
      </c>
      <c r="G64" s="34"/>
      <c r="H64" s="35"/>
    </row>
    <row r="65" spans="2:8" ht="16.2" thickBot="1" x14ac:dyDescent="0.35">
      <c r="B65" s="48" t="s">
        <v>257</v>
      </c>
      <c r="C65" s="49" t="s">
        <v>220</v>
      </c>
      <c r="D65" s="49" t="s">
        <v>330</v>
      </c>
      <c r="E65" s="49" t="s">
        <v>334</v>
      </c>
      <c r="F65" s="126">
        <v>4</v>
      </c>
      <c r="G65" s="127"/>
      <c r="H65" s="128" t="s">
        <v>428</v>
      </c>
    </row>
    <row r="66" spans="2:8" x14ac:dyDescent="0.3">
      <c r="F66">
        <f>AVERAGE(F3:F65)</f>
        <v>4.8095238095238093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B7255-981C-4196-B873-FF60AC9B3AF3}">
  <sheetPr>
    <tabColor rgb="FFFFFF00"/>
  </sheetPr>
  <dimension ref="A1:M159"/>
  <sheetViews>
    <sheetView workbookViewId="0">
      <selection activeCell="C38" sqref="C38"/>
    </sheetView>
  </sheetViews>
  <sheetFormatPr defaultRowHeight="14.4" x14ac:dyDescent="0.3"/>
  <cols>
    <col min="5" max="5" width="9.109375" customWidth="1"/>
    <col min="6" max="6" width="13.6640625" customWidth="1"/>
    <col min="7" max="7" width="11.44140625" customWidth="1"/>
    <col min="8" max="8" width="51.44140625" customWidth="1"/>
    <col min="9" max="9" width="47.5546875" customWidth="1"/>
    <col min="10" max="10" width="54.6640625" customWidth="1"/>
    <col min="11" max="11" width="49.5546875" customWidth="1"/>
    <col min="13" max="15" width="27.33203125" customWidth="1"/>
  </cols>
  <sheetData>
    <row r="1" spans="1:13" ht="15" thickBot="1" x14ac:dyDescent="0.35">
      <c r="A1" s="113" t="s">
        <v>0</v>
      </c>
      <c r="B1" s="114" t="s">
        <v>670</v>
      </c>
      <c r="C1" s="114" t="s">
        <v>1</v>
      </c>
      <c r="D1" s="114" t="s">
        <v>548</v>
      </c>
      <c r="E1" s="114" t="s">
        <v>3</v>
      </c>
      <c r="F1" s="114" t="s">
        <v>549</v>
      </c>
      <c r="G1" s="114" t="s">
        <v>550</v>
      </c>
      <c r="H1" s="114" t="s">
        <v>551</v>
      </c>
      <c r="I1" s="114" t="s">
        <v>552</v>
      </c>
      <c r="J1" s="114" t="s">
        <v>553</v>
      </c>
      <c r="K1" s="114" t="s">
        <v>554</v>
      </c>
      <c r="L1" s="115" t="s">
        <v>555</v>
      </c>
    </row>
    <row r="2" spans="1:13" x14ac:dyDescent="0.3">
      <c r="A2" s="109">
        <v>103</v>
      </c>
      <c r="B2" s="110">
        <v>1</v>
      </c>
      <c r="C2" s="110" t="s">
        <v>123</v>
      </c>
      <c r="D2" s="110">
        <v>18</v>
      </c>
      <c r="E2" s="110" t="s">
        <v>83</v>
      </c>
      <c r="F2" s="110" t="s">
        <v>556</v>
      </c>
      <c r="G2" s="110">
        <v>5</v>
      </c>
      <c r="H2" s="110" t="s">
        <v>557</v>
      </c>
      <c r="I2" s="110" t="s">
        <v>557</v>
      </c>
      <c r="J2" s="110" t="s">
        <v>558</v>
      </c>
      <c r="K2" s="110" t="s">
        <v>558</v>
      </c>
      <c r="L2" s="116" t="s">
        <v>385</v>
      </c>
      <c r="M2" s="83"/>
    </row>
    <row r="3" spans="1:13" ht="15" thickBot="1" x14ac:dyDescent="0.35">
      <c r="A3" s="111">
        <v>103</v>
      </c>
      <c r="B3" s="112">
        <v>1</v>
      </c>
      <c r="C3" s="112" t="s">
        <v>123</v>
      </c>
      <c r="D3" s="112">
        <v>10</v>
      </c>
      <c r="E3" s="112" t="s">
        <v>18</v>
      </c>
      <c r="F3" s="112" t="s">
        <v>559</v>
      </c>
      <c r="G3" s="112">
        <v>2</v>
      </c>
      <c r="H3" s="112" t="s">
        <v>560</v>
      </c>
      <c r="I3" s="112" t="s">
        <v>560</v>
      </c>
      <c r="J3" s="112" t="s">
        <v>561</v>
      </c>
      <c r="K3" s="112" t="s">
        <v>561</v>
      </c>
      <c r="L3" s="117" t="s">
        <v>385</v>
      </c>
    </row>
    <row r="4" spans="1:13" x14ac:dyDescent="0.3">
      <c r="A4" s="118">
        <v>104</v>
      </c>
      <c r="B4" s="119">
        <v>2</v>
      </c>
      <c r="C4" s="119" t="s">
        <v>124</v>
      </c>
      <c r="D4" s="119">
        <v>24</v>
      </c>
      <c r="E4" s="119" t="s">
        <v>83</v>
      </c>
      <c r="F4" s="119" t="s">
        <v>562</v>
      </c>
      <c r="G4" s="119">
        <v>5</v>
      </c>
      <c r="H4" s="119"/>
      <c r="I4" s="119"/>
      <c r="J4" s="119"/>
      <c r="K4" s="119"/>
      <c r="L4" s="116"/>
    </row>
    <row r="5" spans="1:13" ht="15" thickBot="1" x14ac:dyDescent="0.35">
      <c r="A5" s="120">
        <v>104</v>
      </c>
      <c r="B5" s="121">
        <v>2</v>
      </c>
      <c r="C5" s="121" t="s">
        <v>124</v>
      </c>
      <c r="D5" s="121">
        <v>8</v>
      </c>
      <c r="E5" s="121" t="s">
        <v>18</v>
      </c>
      <c r="F5" s="121" t="s">
        <v>563</v>
      </c>
      <c r="G5" s="121">
        <v>1</v>
      </c>
      <c r="H5" s="121" t="s">
        <v>561</v>
      </c>
      <c r="I5" s="121" t="s">
        <v>561</v>
      </c>
      <c r="J5" s="121" t="s">
        <v>561</v>
      </c>
      <c r="K5" s="121" t="s">
        <v>561</v>
      </c>
      <c r="L5" s="117"/>
    </row>
    <row r="6" spans="1:13" x14ac:dyDescent="0.3">
      <c r="A6" s="109">
        <v>106</v>
      </c>
      <c r="B6" s="110">
        <v>3</v>
      </c>
      <c r="C6" s="110" t="s">
        <v>126</v>
      </c>
      <c r="D6" s="110">
        <v>21</v>
      </c>
      <c r="E6" s="110" t="s">
        <v>83</v>
      </c>
      <c r="F6" s="110" t="s">
        <v>564</v>
      </c>
      <c r="G6" s="110">
        <v>3</v>
      </c>
      <c r="H6" s="110" t="s">
        <v>565</v>
      </c>
      <c r="I6" s="110" t="s">
        <v>565</v>
      </c>
      <c r="J6" s="110"/>
      <c r="K6" s="110"/>
      <c r="L6" s="116" t="s">
        <v>385</v>
      </c>
    </row>
    <row r="7" spans="1:13" ht="15" thickBot="1" x14ac:dyDescent="0.35">
      <c r="A7" s="111">
        <v>106</v>
      </c>
      <c r="B7" s="112">
        <v>3</v>
      </c>
      <c r="C7" s="112" t="s">
        <v>126</v>
      </c>
      <c r="D7" s="112">
        <v>8</v>
      </c>
      <c r="E7" s="112" t="s">
        <v>18</v>
      </c>
      <c r="F7" s="112" t="s">
        <v>566</v>
      </c>
      <c r="G7" s="112">
        <v>1</v>
      </c>
      <c r="H7" s="112" t="s">
        <v>567</v>
      </c>
      <c r="I7" s="112" t="s">
        <v>567</v>
      </c>
      <c r="J7" s="112" t="s">
        <v>561</v>
      </c>
      <c r="K7" s="112" t="s">
        <v>561</v>
      </c>
      <c r="L7" s="117" t="s">
        <v>385</v>
      </c>
    </row>
    <row r="8" spans="1:13" x14ac:dyDescent="0.3">
      <c r="A8" s="118">
        <v>107</v>
      </c>
      <c r="B8" s="119">
        <v>4</v>
      </c>
      <c r="C8" s="119" t="s">
        <v>127</v>
      </c>
      <c r="D8" s="119">
        <v>18</v>
      </c>
      <c r="E8" s="119" t="s">
        <v>83</v>
      </c>
      <c r="F8" s="119" t="s">
        <v>568</v>
      </c>
      <c r="G8" s="119">
        <v>5</v>
      </c>
      <c r="H8" s="119"/>
      <c r="I8" s="119" t="s">
        <v>569</v>
      </c>
      <c r="J8" s="119"/>
      <c r="K8" s="119" t="s">
        <v>569</v>
      </c>
      <c r="L8" s="116" t="s">
        <v>385</v>
      </c>
    </row>
    <row r="9" spans="1:13" ht="15" thickBot="1" x14ac:dyDescent="0.35">
      <c r="A9" s="120">
        <v>107</v>
      </c>
      <c r="B9" s="121">
        <v>4</v>
      </c>
      <c r="C9" s="121" t="s">
        <v>127</v>
      </c>
      <c r="D9" s="121">
        <v>12</v>
      </c>
      <c r="E9" s="121" t="s">
        <v>18</v>
      </c>
      <c r="F9" s="121" t="s">
        <v>570</v>
      </c>
      <c r="G9" s="121">
        <v>5</v>
      </c>
      <c r="H9" s="121" t="s">
        <v>561</v>
      </c>
      <c r="I9" s="121" t="s">
        <v>561</v>
      </c>
      <c r="J9" s="121" t="s">
        <v>561</v>
      </c>
      <c r="K9" s="121" t="s">
        <v>571</v>
      </c>
      <c r="L9" s="117" t="s">
        <v>385</v>
      </c>
    </row>
    <row r="10" spans="1:13" x14ac:dyDescent="0.3">
      <c r="A10" s="105">
        <v>111</v>
      </c>
      <c r="B10" s="106">
        <v>5</v>
      </c>
      <c r="C10" s="106" t="s">
        <v>131</v>
      </c>
      <c r="D10" s="106">
        <v>20</v>
      </c>
      <c r="E10" s="106" t="s">
        <v>83</v>
      </c>
      <c r="F10" s="106" t="s">
        <v>572</v>
      </c>
      <c r="G10" s="106">
        <v>3</v>
      </c>
      <c r="H10" s="106" t="s">
        <v>573</v>
      </c>
      <c r="I10" s="106" t="s">
        <v>573</v>
      </c>
      <c r="J10" s="106" t="s">
        <v>573</v>
      </c>
      <c r="K10" s="106" t="s">
        <v>573</v>
      </c>
      <c r="L10" s="116" t="s">
        <v>385</v>
      </c>
    </row>
    <row r="11" spans="1:13" ht="15" thickBot="1" x14ac:dyDescent="0.35">
      <c r="A11" s="107">
        <v>111</v>
      </c>
      <c r="B11" s="108">
        <v>5</v>
      </c>
      <c r="C11" s="108" t="s">
        <v>131</v>
      </c>
      <c r="D11" s="108">
        <v>11</v>
      </c>
      <c r="E11" s="108" t="s">
        <v>18</v>
      </c>
      <c r="F11" s="108" t="s">
        <v>574</v>
      </c>
      <c r="G11" s="108">
        <v>2</v>
      </c>
      <c r="H11" s="108" t="s">
        <v>561</v>
      </c>
      <c r="I11" s="108" t="s">
        <v>561</v>
      </c>
      <c r="J11" s="108" t="s">
        <v>561</v>
      </c>
      <c r="K11" s="108" t="s">
        <v>561</v>
      </c>
      <c r="L11" s="117" t="s">
        <v>385</v>
      </c>
    </row>
    <row r="12" spans="1:13" x14ac:dyDescent="0.3">
      <c r="A12" s="118">
        <v>113</v>
      </c>
      <c r="B12" s="119">
        <v>6</v>
      </c>
      <c r="C12" s="119" t="s">
        <v>133</v>
      </c>
      <c r="D12" s="119">
        <v>20</v>
      </c>
      <c r="E12" s="119" t="s">
        <v>83</v>
      </c>
      <c r="F12" s="119" t="s">
        <v>575</v>
      </c>
      <c r="G12" s="119">
        <v>2</v>
      </c>
      <c r="H12" s="119" t="s">
        <v>576</v>
      </c>
      <c r="I12" s="119" t="s">
        <v>565</v>
      </c>
      <c r="J12" s="119"/>
      <c r="K12" s="119"/>
      <c r="L12" s="116"/>
    </row>
    <row r="13" spans="1:13" ht="15" thickBot="1" x14ac:dyDescent="0.35">
      <c r="A13" s="120">
        <v>113</v>
      </c>
      <c r="B13" s="121">
        <v>6</v>
      </c>
      <c r="C13" s="121" t="s">
        <v>133</v>
      </c>
      <c r="D13" s="121">
        <v>7</v>
      </c>
      <c r="E13" s="121" t="s">
        <v>18</v>
      </c>
      <c r="F13" s="121" t="s">
        <v>577</v>
      </c>
      <c r="G13" s="121">
        <v>1</v>
      </c>
      <c r="H13" s="121" t="s">
        <v>578</v>
      </c>
      <c r="I13" s="121" t="s">
        <v>579</v>
      </c>
      <c r="J13" s="121" t="s">
        <v>580</v>
      </c>
      <c r="K13" s="121" t="s">
        <v>581</v>
      </c>
      <c r="L13" s="117"/>
    </row>
    <row r="14" spans="1:13" x14ac:dyDescent="0.3">
      <c r="A14" s="109">
        <v>114</v>
      </c>
      <c r="B14" s="110">
        <v>7</v>
      </c>
      <c r="C14" s="110" t="s">
        <v>134</v>
      </c>
      <c r="D14" s="110">
        <v>20</v>
      </c>
      <c r="E14" s="110" t="s">
        <v>83</v>
      </c>
      <c r="F14" s="110" t="s">
        <v>582</v>
      </c>
      <c r="G14" s="110">
        <v>4</v>
      </c>
      <c r="H14" s="110"/>
      <c r="I14" s="110"/>
      <c r="J14" s="110"/>
      <c r="K14" s="110"/>
      <c r="L14" s="116"/>
    </row>
    <row r="15" spans="1:13" ht="15" thickBot="1" x14ac:dyDescent="0.35">
      <c r="A15" s="111">
        <v>114</v>
      </c>
      <c r="B15" s="112">
        <v>7</v>
      </c>
      <c r="C15" s="112" t="s">
        <v>134</v>
      </c>
      <c r="D15" s="112">
        <v>8</v>
      </c>
      <c r="E15" s="112" t="s">
        <v>18</v>
      </c>
      <c r="F15" s="112" t="s">
        <v>583</v>
      </c>
      <c r="G15" s="112">
        <v>1</v>
      </c>
      <c r="H15" s="112" t="s">
        <v>561</v>
      </c>
      <c r="I15" s="112" t="s">
        <v>561</v>
      </c>
      <c r="J15" s="112" t="s">
        <v>584</v>
      </c>
      <c r="K15" s="112" t="s">
        <v>584</v>
      </c>
      <c r="L15" s="117"/>
    </row>
    <row r="16" spans="1:13" x14ac:dyDescent="0.3">
      <c r="A16" s="118">
        <v>115</v>
      </c>
      <c r="B16" s="119">
        <v>8</v>
      </c>
      <c r="C16" s="119" t="s">
        <v>135</v>
      </c>
      <c r="D16" s="119">
        <v>22</v>
      </c>
      <c r="E16" s="119" t="s">
        <v>83</v>
      </c>
      <c r="F16" s="119" t="s">
        <v>585</v>
      </c>
      <c r="G16" s="119">
        <v>4</v>
      </c>
      <c r="H16" s="119"/>
      <c r="I16" s="119"/>
      <c r="J16" s="119"/>
      <c r="K16" s="119"/>
      <c r="L16" s="116"/>
    </row>
    <row r="17" spans="1:12" ht="15" thickBot="1" x14ac:dyDescent="0.35">
      <c r="A17" s="120">
        <v>115</v>
      </c>
      <c r="B17" s="121">
        <v>8</v>
      </c>
      <c r="C17" s="121" t="s">
        <v>135</v>
      </c>
      <c r="D17" s="121">
        <v>12</v>
      </c>
      <c r="E17" s="121" t="s">
        <v>18</v>
      </c>
      <c r="F17" s="121" t="s">
        <v>586</v>
      </c>
      <c r="G17" s="121">
        <v>2</v>
      </c>
      <c r="H17" s="121" t="s">
        <v>561</v>
      </c>
      <c r="I17" s="121" t="s">
        <v>561</v>
      </c>
      <c r="J17" s="121" t="s">
        <v>561</v>
      </c>
      <c r="K17" s="121" t="s">
        <v>561</v>
      </c>
      <c r="L17" s="117"/>
    </row>
    <row r="18" spans="1:12" x14ac:dyDescent="0.3">
      <c r="A18" s="105">
        <v>116</v>
      </c>
      <c r="B18" s="106">
        <v>9</v>
      </c>
      <c r="C18" s="106" t="s">
        <v>136</v>
      </c>
      <c r="D18" s="106">
        <v>20</v>
      </c>
      <c r="E18" s="106" t="s">
        <v>83</v>
      </c>
      <c r="F18" s="106" t="s">
        <v>587</v>
      </c>
      <c r="G18" s="106">
        <v>3</v>
      </c>
      <c r="H18" s="106" t="s">
        <v>588</v>
      </c>
      <c r="I18" s="106" t="s">
        <v>588</v>
      </c>
      <c r="J18" s="106" t="s">
        <v>589</v>
      </c>
      <c r="K18" s="106" t="s">
        <v>589</v>
      </c>
      <c r="L18" s="116"/>
    </row>
    <row r="19" spans="1:12" ht="15" thickBot="1" x14ac:dyDescent="0.35">
      <c r="A19" s="107">
        <v>116</v>
      </c>
      <c r="B19" s="108">
        <v>9</v>
      </c>
      <c r="C19" s="108" t="s">
        <v>136</v>
      </c>
      <c r="D19" s="108">
        <v>7</v>
      </c>
      <c r="E19" s="108" t="s">
        <v>18</v>
      </c>
      <c r="F19" s="108" t="s">
        <v>590</v>
      </c>
      <c r="G19" s="108">
        <v>1</v>
      </c>
      <c r="H19" s="108" t="s">
        <v>591</v>
      </c>
      <c r="I19" s="108" t="s">
        <v>591</v>
      </c>
      <c r="J19" s="108" t="s">
        <v>592</v>
      </c>
      <c r="K19" s="108" t="s">
        <v>592</v>
      </c>
      <c r="L19" s="117"/>
    </row>
    <row r="20" spans="1:12" x14ac:dyDescent="0.3">
      <c r="A20" s="105">
        <v>119</v>
      </c>
      <c r="B20" s="106">
        <v>10</v>
      </c>
      <c r="C20" s="106" t="s">
        <v>139</v>
      </c>
      <c r="D20" s="106">
        <v>21</v>
      </c>
      <c r="E20" s="106" t="s">
        <v>83</v>
      </c>
      <c r="F20" s="106" t="s">
        <v>593</v>
      </c>
      <c r="G20" s="106">
        <v>4</v>
      </c>
      <c r="H20" s="106" t="s">
        <v>594</v>
      </c>
      <c r="I20" s="106" t="s">
        <v>565</v>
      </c>
      <c r="J20" s="106"/>
      <c r="K20" s="106"/>
      <c r="L20" s="116"/>
    </row>
    <row r="21" spans="1:12" ht="15" thickBot="1" x14ac:dyDescent="0.35">
      <c r="A21" s="107">
        <v>119</v>
      </c>
      <c r="B21" s="108">
        <v>10</v>
      </c>
      <c r="C21" s="108" t="s">
        <v>139</v>
      </c>
      <c r="D21" s="108">
        <v>9</v>
      </c>
      <c r="E21" s="108" t="s">
        <v>18</v>
      </c>
      <c r="F21" s="108" t="s">
        <v>595</v>
      </c>
      <c r="G21" s="108">
        <v>1</v>
      </c>
      <c r="H21" s="108" t="s">
        <v>565</v>
      </c>
      <c r="I21" s="108" t="s">
        <v>596</v>
      </c>
      <c r="J21" s="108" t="s">
        <v>597</v>
      </c>
      <c r="K21" s="108" t="s">
        <v>597</v>
      </c>
      <c r="L21" s="117"/>
    </row>
    <row r="22" spans="1:12" x14ac:dyDescent="0.3">
      <c r="A22" s="109">
        <v>120</v>
      </c>
      <c r="B22" s="110">
        <v>11</v>
      </c>
      <c r="C22" s="110" t="s">
        <v>140</v>
      </c>
      <c r="D22" s="110">
        <v>17</v>
      </c>
      <c r="E22" s="110" t="s">
        <v>83</v>
      </c>
      <c r="F22" s="110" t="s">
        <v>598</v>
      </c>
      <c r="G22" s="110">
        <v>3</v>
      </c>
      <c r="H22" s="110" t="s">
        <v>599</v>
      </c>
      <c r="I22" s="110" t="s">
        <v>600</v>
      </c>
      <c r="J22" s="110"/>
      <c r="K22" s="110"/>
      <c r="L22" s="116" t="s">
        <v>385</v>
      </c>
    </row>
    <row r="23" spans="1:12" ht="15" thickBot="1" x14ac:dyDescent="0.35">
      <c r="A23" s="111">
        <v>120</v>
      </c>
      <c r="B23" s="112">
        <v>11</v>
      </c>
      <c r="C23" s="112" t="s">
        <v>140</v>
      </c>
      <c r="D23" s="112">
        <v>6</v>
      </c>
      <c r="E23" s="112" t="s">
        <v>18</v>
      </c>
      <c r="F23" s="112" t="s">
        <v>601</v>
      </c>
      <c r="G23" s="112">
        <v>1</v>
      </c>
      <c r="H23" s="112" t="s">
        <v>602</v>
      </c>
      <c r="I23" s="112" t="s">
        <v>602</v>
      </c>
      <c r="J23" s="112" t="s">
        <v>603</v>
      </c>
      <c r="K23" s="112" t="s">
        <v>603</v>
      </c>
      <c r="L23" s="117" t="s">
        <v>385</v>
      </c>
    </row>
    <row r="24" spans="1:12" x14ac:dyDescent="0.3">
      <c r="A24" s="118">
        <v>121</v>
      </c>
      <c r="B24" s="119">
        <v>12</v>
      </c>
      <c r="C24" s="119" t="s">
        <v>141</v>
      </c>
      <c r="D24" s="119">
        <v>26</v>
      </c>
      <c r="E24" s="119" t="s">
        <v>83</v>
      </c>
      <c r="F24" s="119" t="s">
        <v>604</v>
      </c>
      <c r="G24" s="119">
        <v>4</v>
      </c>
      <c r="H24" s="119" t="s">
        <v>605</v>
      </c>
      <c r="I24" s="119" t="s">
        <v>605</v>
      </c>
      <c r="J24" s="119" t="s">
        <v>606</v>
      </c>
      <c r="K24" s="119" t="s">
        <v>606</v>
      </c>
      <c r="L24" s="116"/>
    </row>
    <row r="25" spans="1:12" ht="15" thickBot="1" x14ac:dyDescent="0.35">
      <c r="A25" s="120">
        <v>121</v>
      </c>
      <c r="B25" s="121">
        <v>12</v>
      </c>
      <c r="C25" s="121" t="s">
        <v>141</v>
      </c>
      <c r="D25" s="121">
        <v>13</v>
      </c>
      <c r="E25" s="121" t="s">
        <v>18</v>
      </c>
      <c r="F25" s="121" t="s">
        <v>607</v>
      </c>
      <c r="G25" s="121">
        <v>5</v>
      </c>
      <c r="H25" s="121" t="s">
        <v>414</v>
      </c>
      <c r="I25" s="121" t="s">
        <v>414</v>
      </c>
      <c r="J25" s="121" t="s">
        <v>414</v>
      </c>
      <c r="K25" s="121" t="s">
        <v>414</v>
      </c>
      <c r="L25" s="117"/>
    </row>
    <row r="26" spans="1:12" x14ac:dyDescent="0.3">
      <c r="A26" s="105">
        <v>122</v>
      </c>
      <c r="B26" s="106">
        <v>13</v>
      </c>
      <c r="C26" s="106" t="s">
        <v>142</v>
      </c>
      <c r="D26" s="106">
        <v>19</v>
      </c>
      <c r="E26" s="106" t="s">
        <v>83</v>
      </c>
      <c r="F26" s="106" t="s">
        <v>608</v>
      </c>
      <c r="G26" s="106">
        <v>4</v>
      </c>
      <c r="H26" s="106" t="s">
        <v>609</v>
      </c>
      <c r="I26" s="106" t="s">
        <v>609</v>
      </c>
      <c r="J26" s="106" t="s">
        <v>610</v>
      </c>
      <c r="K26" s="106" t="s">
        <v>610</v>
      </c>
      <c r="L26" s="116"/>
    </row>
    <row r="27" spans="1:12" ht="15" thickBot="1" x14ac:dyDescent="0.35">
      <c r="A27" s="107">
        <v>122</v>
      </c>
      <c r="B27" s="108">
        <v>13</v>
      </c>
      <c r="C27" s="108" t="s">
        <v>142</v>
      </c>
      <c r="D27" s="108">
        <v>7</v>
      </c>
      <c r="E27" s="108" t="s">
        <v>18</v>
      </c>
      <c r="F27" s="108" t="s">
        <v>611</v>
      </c>
      <c r="G27" s="108">
        <v>1</v>
      </c>
      <c r="H27" s="108" t="s">
        <v>612</v>
      </c>
      <c r="I27" s="108" t="s">
        <v>613</v>
      </c>
      <c r="J27" s="108" t="s">
        <v>614</v>
      </c>
      <c r="K27" s="108" t="s">
        <v>614</v>
      </c>
      <c r="L27" s="117"/>
    </row>
    <row r="28" spans="1:12" x14ac:dyDescent="0.3">
      <c r="A28" s="105">
        <v>125</v>
      </c>
      <c r="B28" s="106">
        <v>14</v>
      </c>
      <c r="C28" s="106" t="s">
        <v>145</v>
      </c>
      <c r="D28" s="106">
        <v>20</v>
      </c>
      <c r="E28" s="106" t="s">
        <v>83</v>
      </c>
      <c r="F28" s="106" t="s">
        <v>615</v>
      </c>
      <c r="G28" s="106">
        <v>4.75</v>
      </c>
      <c r="H28" s="106" t="s">
        <v>616</v>
      </c>
      <c r="I28" s="106" t="s">
        <v>617</v>
      </c>
      <c r="J28" s="106"/>
      <c r="K28" s="106"/>
      <c r="L28" s="116"/>
    </row>
    <row r="29" spans="1:12" ht="15" thickBot="1" x14ac:dyDescent="0.35">
      <c r="A29" s="107">
        <v>125</v>
      </c>
      <c r="B29" s="108">
        <v>14</v>
      </c>
      <c r="C29" s="108" t="s">
        <v>145</v>
      </c>
      <c r="D29" s="108">
        <v>11</v>
      </c>
      <c r="E29" s="108" t="s">
        <v>18</v>
      </c>
      <c r="F29" s="108" t="s">
        <v>618</v>
      </c>
      <c r="G29" s="108">
        <v>3</v>
      </c>
      <c r="H29" s="108" t="s">
        <v>567</v>
      </c>
      <c r="I29" s="108" t="s">
        <v>567</v>
      </c>
      <c r="J29" s="108" t="s">
        <v>619</v>
      </c>
      <c r="K29" s="108" t="s">
        <v>620</v>
      </c>
      <c r="L29" s="117"/>
    </row>
    <row r="30" spans="1:12" x14ac:dyDescent="0.3">
      <c r="A30" s="109">
        <v>126</v>
      </c>
      <c r="B30" s="110">
        <v>15</v>
      </c>
      <c r="C30" s="110" t="s">
        <v>146</v>
      </c>
      <c r="D30" s="110">
        <v>21</v>
      </c>
      <c r="E30" s="110" t="s">
        <v>83</v>
      </c>
      <c r="F30" s="110" t="s">
        <v>621</v>
      </c>
      <c r="G30" s="110">
        <v>4.5</v>
      </c>
      <c r="H30" s="110" t="s">
        <v>622</v>
      </c>
      <c r="I30" s="110" t="s">
        <v>623</v>
      </c>
      <c r="J30" s="110"/>
      <c r="K30" s="110" t="s">
        <v>624</v>
      </c>
      <c r="L30" s="116"/>
    </row>
    <row r="31" spans="1:12" ht="15" thickBot="1" x14ac:dyDescent="0.35">
      <c r="A31" s="111">
        <v>126</v>
      </c>
      <c r="B31" s="112">
        <v>15</v>
      </c>
      <c r="C31" s="112" t="s">
        <v>146</v>
      </c>
      <c r="D31" s="112">
        <v>13</v>
      </c>
      <c r="E31" s="112" t="s">
        <v>18</v>
      </c>
      <c r="F31" s="112" t="s">
        <v>625</v>
      </c>
      <c r="G31" s="112">
        <v>5</v>
      </c>
      <c r="H31" s="112"/>
      <c r="I31" s="112"/>
      <c r="J31" s="112"/>
      <c r="K31" s="112"/>
      <c r="L31" s="117"/>
    </row>
    <row r="32" spans="1:12" x14ac:dyDescent="0.3">
      <c r="A32" s="105">
        <v>140</v>
      </c>
      <c r="B32" s="106">
        <v>16</v>
      </c>
      <c r="C32" s="106" t="s">
        <v>160</v>
      </c>
      <c r="D32" s="106"/>
      <c r="E32" s="106" t="s">
        <v>161</v>
      </c>
      <c r="F32" s="106"/>
      <c r="G32" s="106"/>
      <c r="H32" s="106"/>
      <c r="I32" s="106"/>
      <c r="J32" s="106"/>
      <c r="K32" s="106"/>
      <c r="L32" s="116"/>
    </row>
    <row r="33" spans="1:12" x14ac:dyDescent="0.3">
      <c r="A33" s="122">
        <v>140</v>
      </c>
      <c r="B33" s="10">
        <v>16</v>
      </c>
      <c r="C33" s="10" t="s">
        <v>160</v>
      </c>
      <c r="D33" s="10"/>
      <c r="E33" s="132" t="s">
        <v>162</v>
      </c>
      <c r="F33" s="10" t="s">
        <v>626</v>
      </c>
      <c r="G33" s="10">
        <v>4</v>
      </c>
      <c r="H33" s="10"/>
      <c r="I33" s="10"/>
      <c r="J33" s="10" t="s">
        <v>627</v>
      </c>
      <c r="K33" s="10" t="s">
        <v>628</v>
      </c>
      <c r="L33" s="123"/>
    </row>
    <row r="34" spans="1:12" ht="15" thickBot="1" x14ac:dyDescent="0.35">
      <c r="A34" s="107">
        <v>140</v>
      </c>
      <c r="B34" s="108">
        <v>16</v>
      </c>
      <c r="C34" s="108" t="s">
        <v>160</v>
      </c>
      <c r="D34" s="108">
        <v>6</v>
      </c>
      <c r="E34" s="133" t="s">
        <v>18</v>
      </c>
      <c r="F34" s="108" t="s">
        <v>160</v>
      </c>
      <c r="G34" s="108">
        <v>1</v>
      </c>
      <c r="H34" s="108" t="s">
        <v>629</v>
      </c>
      <c r="I34" s="108" t="s">
        <v>629</v>
      </c>
      <c r="J34" s="108" t="s">
        <v>629</v>
      </c>
      <c r="K34" s="108" t="s">
        <v>629</v>
      </c>
      <c r="L34" s="117"/>
    </row>
    <row r="35" spans="1:12" x14ac:dyDescent="0.3">
      <c r="A35" s="109">
        <v>141</v>
      </c>
      <c r="B35" s="110">
        <v>17</v>
      </c>
      <c r="C35" s="110" t="s">
        <v>163</v>
      </c>
      <c r="D35" s="110"/>
      <c r="E35" s="110" t="s">
        <v>161</v>
      </c>
      <c r="F35" s="110"/>
      <c r="G35" s="110"/>
      <c r="H35" s="110"/>
      <c r="I35" s="110"/>
      <c r="J35" s="110"/>
      <c r="K35" s="110"/>
      <c r="L35" s="116"/>
    </row>
    <row r="36" spans="1:12" x14ac:dyDescent="0.3">
      <c r="A36" s="124">
        <v>141</v>
      </c>
      <c r="B36" s="3">
        <v>17</v>
      </c>
      <c r="C36" s="3" t="s">
        <v>163</v>
      </c>
      <c r="D36" s="3"/>
      <c r="E36" s="3" t="s">
        <v>162</v>
      </c>
      <c r="F36" s="3"/>
      <c r="G36" s="3"/>
      <c r="H36" s="3"/>
      <c r="I36" s="3"/>
      <c r="J36" s="3"/>
      <c r="K36" s="3"/>
      <c r="L36" s="123"/>
    </row>
    <row r="37" spans="1:12" x14ac:dyDescent="0.3">
      <c r="A37" s="124">
        <v>141</v>
      </c>
      <c r="B37" s="3">
        <v>17</v>
      </c>
      <c r="C37" s="3" t="s">
        <v>163</v>
      </c>
      <c r="D37" s="3"/>
      <c r="E37" s="134" t="s">
        <v>164</v>
      </c>
      <c r="F37" s="3" t="s">
        <v>630</v>
      </c>
      <c r="G37" s="3">
        <v>4</v>
      </c>
      <c r="H37" s="3" t="s">
        <v>631</v>
      </c>
      <c r="I37" s="3" t="s">
        <v>632</v>
      </c>
      <c r="J37" s="3"/>
      <c r="K37" s="3" t="s">
        <v>633</v>
      </c>
      <c r="L37" s="123"/>
    </row>
    <row r="38" spans="1:12" ht="15" thickBot="1" x14ac:dyDescent="0.35">
      <c r="A38" s="111">
        <v>141</v>
      </c>
      <c r="B38" s="112">
        <v>17</v>
      </c>
      <c r="C38" s="112" t="s">
        <v>163</v>
      </c>
      <c r="D38" s="112">
        <v>8</v>
      </c>
      <c r="E38" s="135" t="s">
        <v>18</v>
      </c>
      <c r="F38" s="112" t="s">
        <v>163</v>
      </c>
      <c r="G38" s="112">
        <v>2</v>
      </c>
      <c r="H38" s="112" t="s">
        <v>634</v>
      </c>
      <c r="I38" s="112" t="s">
        <v>634</v>
      </c>
      <c r="J38" s="112" t="s">
        <v>635</v>
      </c>
      <c r="K38" s="112" t="s">
        <v>635</v>
      </c>
      <c r="L38" s="117"/>
    </row>
    <row r="39" spans="1:12" x14ac:dyDescent="0.3">
      <c r="A39" s="118">
        <v>142</v>
      </c>
      <c r="B39" s="119">
        <v>18</v>
      </c>
      <c r="C39" s="119" t="s">
        <v>165</v>
      </c>
      <c r="D39" s="119"/>
      <c r="E39" s="119" t="s">
        <v>161</v>
      </c>
      <c r="F39" s="119"/>
      <c r="G39" s="119" t="s">
        <v>334</v>
      </c>
      <c r="H39" s="119"/>
      <c r="I39" s="119"/>
      <c r="J39" s="119"/>
      <c r="K39" s="119"/>
      <c r="L39" s="116"/>
    </row>
    <row r="40" spans="1:12" x14ac:dyDescent="0.3">
      <c r="A40" s="125">
        <v>142</v>
      </c>
      <c r="B40" s="7">
        <v>18</v>
      </c>
      <c r="C40" s="7" t="s">
        <v>165</v>
      </c>
      <c r="D40" s="7"/>
      <c r="E40" s="7" t="s">
        <v>162</v>
      </c>
      <c r="F40" s="7"/>
      <c r="G40" s="7"/>
      <c r="H40" s="7"/>
      <c r="I40" s="7"/>
      <c r="J40" s="7"/>
      <c r="K40" s="7"/>
      <c r="L40" s="123"/>
    </row>
    <row r="41" spans="1:12" x14ac:dyDescent="0.3">
      <c r="A41" s="125">
        <v>142</v>
      </c>
      <c r="B41" s="7">
        <v>18</v>
      </c>
      <c r="C41" s="7" t="s">
        <v>165</v>
      </c>
      <c r="D41" s="7"/>
      <c r="E41" s="136" t="s">
        <v>164</v>
      </c>
      <c r="F41" s="7" t="s">
        <v>636</v>
      </c>
      <c r="G41" s="7">
        <v>4</v>
      </c>
      <c r="H41" s="7" t="s">
        <v>637</v>
      </c>
      <c r="I41" s="7"/>
      <c r="J41" s="7" t="s">
        <v>637</v>
      </c>
      <c r="K41" s="7"/>
      <c r="L41" s="123"/>
    </row>
    <row r="42" spans="1:12" ht="15" thickBot="1" x14ac:dyDescent="0.35">
      <c r="A42" s="120">
        <v>142</v>
      </c>
      <c r="B42" s="121">
        <v>18</v>
      </c>
      <c r="C42" s="121" t="s">
        <v>165</v>
      </c>
      <c r="D42" s="121">
        <v>9</v>
      </c>
      <c r="E42" s="137" t="s">
        <v>18</v>
      </c>
      <c r="F42" s="121" t="s">
        <v>165</v>
      </c>
      <c r="G42" s="121">
        <v>0</v>
      </c>
      <c r="H42" s="121" t="s">
        <v>638</v>
      </c>
      <c r="I42" s="121" t="s">
        <v>638</v>
      </c>
      <c r="J42" s="121" t="s">
        <v>638</v>
      </c>
      <c r="K42" s="121" t="s">
        <v>638</v>
      </c>
      <c r="L42" s="117"/>
    </row>
    <row r="43" spans="1:12" x14ac:dyDescent="0.3">
      <c r="A43" s="105">
        <v>143</v>
      </c>
      <c r="B43" s="106">
        <v>19</v>
      </c>
      <c r="C43" s="106" t="s">
        <v>166</v>
      </c>
      <c r="D43" s="106"/>
      <c r="E43" s="138" t="s">
        <v>162</v>
      </c>
      <c r="F43" s="106" t="s">
        <v>639</v>
      </c>
      <c r="G43" s="106">
        <v>5</v>
      </c>
      <c r="H43" s="106" t="s">
        <v>637</v>
      </c>
      <c r="I43" s="106" t="s">
        <v>640</v>
      </c>
      <c r="J43" s="106" t="s">
        <v>637</v>
      </c>
      <c r="K43" s="106"/>
      <c r="L43" s="116"/>
    </row>
    <row r="44" spans="1:12" ht="15" thickBot="1" x14ac:dyDescent="0.35">
      <c r="A44" s="107">
        <v>143</v>
      </c>
      <c r="B44" s="108">
        <v>19</v>
      </c>
      <c r="C44" s="108" t="s">
        <v>166</v>
      </c>
      <c r="D44" s="108">
        <v>9</v>
      </c>
      <c r="E44" s="133" t="s">
        <v>18</v>
      </c>
      <c r="F44" s="108" t="s">
        <v>166</v>
      </c>
      <c r="G44" s="108">
        <v>4</v>
      </c>
      <c r="H44" s="108" t="s">
        <v>631</v>
      </c>
      <c r="I44" s="108" t="s">
        <v>641</v>
      </c>
      <c r="J44" s="108" t="s">
        <v>635</v>
      </c>
      <c r="K44" s="108" t="s">
        <v>635</v>
      </c>
      <c r="L44" s="117"/>
    </row>
    <row r="45" spans="1:12" x14ac:dyDescent="0.3">
      <c r="A45" s="109">
        <v>144</v>
      </c>
      <c r="B45" s="110">
        <v>20</v>
      </c>
      <c r="C45" s="110" t="s">
        <v>167</v>
      </c>
      <c r="D45" s="110"/>
      <c r="E45" s="139" t="s">
        <v>161</v>
      </c>
      <c r="F45" s="110" t="s">
        <v>642</v>
      </c>
      <c r="G45" s="110">
        <v>5</v>
      </c>
      <c r="H45" s="110"/>
      <c r="I45" s="110"/>
      <c r="J45" s="110" t="s">
        <v>643</v>
      </c>
      <c r="K45" s="110" t="s">
        <v>644</v>
      </c>
      <c r="L45" s="116"/>
    </row>
    <row r="46" spans="1:12" ht="15" thickBot="1" x14ac:dyDescent="0.35">
      <c r="A46" s="111">
        <v>144</v>
      </c>
      <c r="B46" s="112">
        <v>20</v>
      </c>
      <c r="C46" s="112" t="s">
        <v>167</v>
      </c>
      <c r="D46" s="112">
        <v>9</v>
      </c>
      <c r="E46" s="135" t="s">
        <v>18</v>
      </c>
      <c r="F46" s="112" t="s">
        <v>167</v>
      </c>
      <c r="G46" s="112">
        <v>3</v>
      </c>
      <c r="H46" s="112" t="s">
        <v>631</v>
      </c>
      <c r="I46" s="112" t="s">
        <v>631</v>
      </c>
      <c r="J46" s="112" t="s">
        <v>645</v>
      </c>
      <c r="K46" s="112" t="s">
        <v>645</v>
      </c>
      <c r="L46" s="117"/>
    </row>
    <row r="47" spans="1:12" x14ac:dyDescent="0.3">
      <c r="A47" s="118">
        <v>145</v>
      </c>
      <c r="B47" s="119">
        <v>21</v>
      </c>
      <c r="C47" s="119" t="s">
        <v>168</v>
      </c>
      <c r="D47" s="119">
        <v>10</v>
      </c>
      <c r="E47" s="140" t="s">
        <v>18</v>
      </c>
      <c r="F47" s="119" t="s">
        <v>168</v>
      </c>
      <c r="G47" s="119">
        <v>5</v>
      </c>
      <c r="H47" s="119" t="s">
        <v>631</v>
      </c>
      <c r="I47" s="119" t="s">
        <v>631</v>
      </c>
      <c r="J47" s="119" t="s">
        <v>631</v>
      </c>
      <c r="K47" s="119" t="s">
        <v>631</v>
      </c>
      <c r="L47" s="116"/>
    </row>
    <row r="48" spans="1:12" x14ac:dyDescent="0.3">
      <c r="A48" s="125">
        <v>145</v>
      </c>
      <c r="B48" s="7">
        <v>21</v>
      </c>
      <c r="C48" s="7" t="s">
        <v>168</v>
      </c>
      <c r="D48" s="7"/>
      <c r="E48" s="7" t="s">
        <v>161</v>
      </c>
      <c r="F48" s="7"/>
      <c r="G48" s="7"/>
      <c r="H48" s="7"/>
      <c r="I48" s="7"/>
      <c r="J48" s="7"/>
      <c r="K48" s="7"/>
      <c r="L48" s="123"/>
    </row>
    <row r="49" spans="1:12" ht="15" thickBot="1" x14ac:dyDescent="0.35">
      <c r="A49" s="120">
        <v>145</v>
      </c>
      <c r="B49" s="121">
        <v>21</v>
      </c>
      <c r="C49" s="121" t="s">
        <v>168</v>
      </c>
      <c r="D49" s="121"/>
      <c r="E49" s="137" t="s">
        <v>164</v>
      </c>
      <c r="F49" s="121" t="s">
        <v>646</v>
      </c>
      <c r="G49" s="121">
        <v>5</v>
      </c>
      <c r="H49" s="121" t="s">
        <v>647</v>
      </c>
      <c r="I49" s="121" t="s">
        <v>648</v>
      </c>
      <c r="J49" s="121" t="s">
        <v>649</v>
      </c>
      <c r="K49" s="121" t="s">
        <v>649</v>
      </c>
      <c r="L49" s="117"/>
    </row>
    <row r="50" spans="1:12" x14ac:dyDescent="0.3">
      <c r="A50" s="105">
        <v>146</v>
      </c>
      <c r="B50" s="106">
        <v>22</v>
      </c>
      <c r="C50" s="106" t="s">
        <v>169</v>
      </c>
      <c r="D50" s="106"/>
      <c r="E50" s="106" t="s">
        <v>161</v>
      </c>
      <c r="F50" s="106"/>
      <c r="G50" s="106"/>
      <c r="H50" s="106"/>
      <c r="I50" s="106"/>
      <c r="J50" s="106"/>
      <c r="K50" s="106"/>
      <c r="L50" s="116"/>
    </row>
    <row r="51" spans="1:12" x14ac:dyDescent="0.3">
      <c r="A51" s="122">
        <v>146</v>
      </c>
      <c r="B51" s="10">
        <v>22</v>
      </c>
      <c r="C51" s="10" t="s">
        <v>169</v>
      </c>
      <c r="D51" s="10"/>
      <c r="E51" s="10" t="s">
        <v>162</v>
      </c>
      <c r="F51" s="10"/>
      <c r="G51" s="10"/>
      <c r="H51" s="10"/>
      <c r="I51" s="10"/>
      <c r="J51" s="10"/>
      <c r="K51" s="10"/>
      <c r="L51" s="123"/>
    </row>
    <row r="52" spans="1:12" x14ac:dyDescent="0.3">
      <c r="A52" s="122">
        <v>146</v>
      </c>
      <c r="B52" s="10">
        <v>22</v>
      </c>
      <c r="C52" s="10" t="s">
        <v>169</v>
      </c>
      <c r="D52" s="10"/>
      <c r="E52" s="132" t="s">
        <v>164</v>
      </c>
      <c r="F52" s="10" t="s">
        <v>650</v>
      </c>
      <c r="G52" s="10">
        <v>5</v>
      </c>
      <c r="H52" s="10" t="s">
        <v>651</v>
      </c>
      <c r="I52" s="10" t="s">
        <v>651</v>
      </c>
      <c r="J52" s="10" t="s">
        <v>652</v>
      </c>
      <c r="K52" s="10" t="s">
        <v>652</v>
      </c>
      <c r="L52" s="123"/>
    </row>
    <row r="53" spans="1:12" ht="15" thickBot="1" x14ac:dyDescent="0.35">
      <c r="A53" s="107">
        <v>146</v>
      </c>
      <c r="B53" s="108">
        <v>22</v>
      </c>
      <c r="C53" s="108" t="s">
        <v>169</v>
      </c>
      <c r="D53" s="108">
        <v>9</v>
      </c>
      <c r="E53" s="133" t="s">
        <v>18</v>
      </c>
      <c r="F53" s="108" t="s">
        <v>169</v>
      </c>
      <c r="G53" s="108">
        <v>3</v>
      </c>
      <c r="H53" s="108" t="s">
        <v>653</v>
      </c>
      <c r="I53" s="108" t="s">
        <v>653</v>
      </c>
      <c r="J53" s="108" t="s">
        <v>653</v>
      </c>
      <c r="K53" s="108" t="s">
        <v>653</v>
      </c>
      <c r="L53" s="117"/>
    </row>
    <row r="54" spans="1:12" x14ac:dyDescent="0.3">
      <c r="A54" s="109">
        <v>147</v>
      </c>
      <c r="B54" s="110">
        <v>23</v>
      </c>
      <c r="C54" s="110" t="s">
        <v>170</v>
      </c>
      <c r="D54" s="110">
        <v>18</v>
      </c>
      <c r="E54" s="139" t="s">
        <v>18</v>
      </c>
      <c r="F54" s="110" t="s">
        <v>170</v>
      </c>
      <c r="G54" s="110">
        <v>5</v>
      </c>
      <c r="H54" s="110"/>
      <c r="I54" s="110"/>
      <c r="J54" s="110"/>
      <c r="K54" s="110"/>
      <c r="L54" s="116"/>
    </row>
    <row r="55" spans="1:12" ht="15" thickBot="1" x14ac:dyDescent="0.35">
      <c r="A55" s="111">
        <v>147</v>
      </c>
      <c r="B55" s="112">
        <v>23</v>
      </c>
      <c r="C55" s="112" t="s">
        <v>170</v>
      </c>
      <c r="D55" s="112"/>
      <c r="E55" s="135" t="s">
        <v>162</v>
      </c>
      <c r="F55" s="112" t="s">
        <v>654</v>
      </c>
      <c r="G55" s="112">
        <v>5</v>
      </c>
      <c r="H55" s="112" t="s">
        <v>655</v>
      </c>
      <c r="I55" s="112" t="s">
        <v>656</v>
      </c>
      <c r="J55" s="112" t="s">
        <v>655</v>
      </c>
      <c r="K55" s="112" t="s">
        <v>655</v>
      </c>
      <c r="L55" s="117"/>
    </row>
    <row r="56" spans="1:12" ht="15" thickBot="1" x14ac:dyDescent="0.35">
      <c r="A56" s="118">
        <v>148</v>
      </c>
      <c r="B56" s="119">
        <v>24</v>
      </c>
      <c r="C56" s="119" t="s">
        <v>171</v>
      </c>
      <c r="D56" s="119">
        <v>10</v>
      </c>
      <c r="E56" s="140" t="s">
        <v>18</v>
      </c>
      <c r="F56" s="119" t="s">
        <v>171</v>
      </c>
      <c r="G56" s="119">
        <v>5</v>
      </c>
      <c r="H56" s="119" t="s">
        <v>631</v>
      </c>
      <c r="I56" s="119" t="s">
        <v>631</v>
      </c>
      <c r="J56" s="119" t="s">
        <v>645</v>
      </c>
      <c r="K56" s="119" t="s">
        <v>645</v>
      </c>
      <c r="L56" s="116"/>
    </row>
    <row r="57" spans="1:12" ht="15" thickBot="1" x14ac:dyDescent="0.35">
      <c r="A57" s="125">
        <v>148</v>
      </c>
      <c r="B57" s="7">
        <v>24</v>
      </c>
      <c r="C57" s="7" t="s">
        <v>171</v>
      </c>
      <c r="D57" s="7"/>
      <c r="E57" s="7" t="s">
        <v>161</v>
      </c>
      <c r="F57" s="7"/>
      <c r="G57" s="7"/>
      <c r="H57" s="119"/>
      <c r="I57" s="119"/>
      <c r="J57" s="119"/>
      <c r="K57" s="119"/>
      <c r="L57" s="123"/>
    </row>
    <row r="58" spans="1:12" ht="15" thickBot="1" x14ac:dyDescent="0.35">
      <c r="A58" s="125">
        <v>148</v>
      </c>
      <c r="B58" s="7">
        <v>24</v>
      </c>
      <c r="C58" s="7" t="s">
        <v>171</v>
      </c>
      <c r="D58" s="7"/>
      <c r="E58" s="7" t="s">
        <v>162</v>
      </c>
      <c r="F58" s="7"/>
      <c r="G58" s="7"/>
      <c r="H58" s="119"/>
      <c r="I58" s="119"/>
      <c r="J58" s="119"/>
      <c r="K58" s="119"/>
      <c r="L58" s="123"/>
    </row>
    <row r="59" spans="1:12" ht="15" thickBot="1" x14ac:dyDescent="0.35">
      <c r="A59" s="120">
        <v>148</v>
      </c>
      <c r="B59" s="121">
        <v>24</v>
      </c>
      <c r="C59" s="121" t="s">
        <v>171</v>
      </c>
      <c r="D59" s="121"/>
      <c r="E59" s="137" t="s">
        <v>164</v>
      </c>
      <c r="F59" s="121" t="s">
        <v>657</v>
      </c>
      <c r="G59" s="121">
        <v>5</v>
      </c>
      <c r="H59" s="119" t="s">
        <v>658</v>
      </c>
      <c r="I59" s="119" t="s">
        <v>658</v>
      </c>
      <c r="J59" s="119" t="s">
        <v>644</v>
      </c>
      <c r="K59" s="119" t="s">
        <v>644</v>
      </c>
      <c r="L59" s="117"/>
    </row>
    <row r="60" spans="1:12" x14ac:dyDescent="0.3">
      <c r="A60" s="105">
        <v>149</v>
      </c>
      <c r="B60" s="106">
        <v>25</v>
      </c>
      <c r="C60" s="106" t="s">
        <v>172</v>
      </c>
      <c r="D60" s="106"/>
      <c r="E60" s="106" t="s">
        <v>161</v>
      </c>
      <c r="F60" s="106"/>
      <c r="G60" s="106"/>
      <c r="H60" s="106"/>
      <c r="I60" s="106"/>
      <c r="J60" s="106"/>
      <c r="K60" s="106"/>
      <c r="L60" s="116"/>
    </row>
    <row r="61" spans="1:12" x14ac:dyDescent="0.3">
      <c r="A61" s="122">
        <v>149</v>
      </c>
      <c r="B61" s="10">
        <v>25</v>
      </c>
      <c r="C61" s="10" t="s">
        <v>172</v>
      </c>
      <c r="D61" s="10"/>
      <c r="E61" s="10" t="s">
        <v>162</v>
      </c>
      <c r="F61" s="10"/>
      <c r="G61" s="10"/>
      <c r="H61" s="10"/>
      <c r="I61" s="10"/>
      <c r="J61" s="10"/>
      <c r="K61" s="10"/>
      <c r="L61" s="123"/>
    </row>
    <row r="62" spans="1:12" x14ac:dyDescent="0.3">
      <c r="A62" s="122">
        <v>149</v>
      </c>
      <c r="B62" s="10">
        <v>25</v>
      </c>
      <c r="C62" s="10" t="s">
        <v>172</v>
      </c>
      <c r="D62" s="10"/>
      <c r="E62" s="132" t="s">
        <v>164</v>
      </c>
      <c r="F62" s="10" t="s">
        <v>659</v>
      </c>
      <c r="G62" s="10">
        <v>5</v>
      </c>
      <c r="H62" s="10"/>
      <c r="I62" s="10"/>
      <c r="J62" s="10"/>
      <c r="K62" s="10"/>
      <c r="L62" s="123"/>
    </row>
    <row r="63" spans="1:12" ht="15" thickBot="1" x14ac:dyDescent="0.35">
      <c r="A63" s="107">
        <v>149</v>
      </c>
      <c r="B63" s="108">
        <v>25</v>
      </c>
      <c r="C63" s="108" t="s">
        <v>172</v>
      </c>
      <c r="D63" s="108">
        <v>9</v>
      </c>
      <c r="E63" s="133" t="s">
        <v>18</v>
      </c>
      <c r="F63" s="108" t="s">
        <v>172</v>
      </c>
      <c r="G63" s="108">
        <v>5</v>
      </c>
      <c r="H63" s="108"/>
      <c r="I63" s="108"/>
      <c r="J63" s="108"/>
      <c r="K63" s="108"/>
      <c r="L63" s="117"/>
    </row>
    <row r="64" spans="1:12" x14ac:dyDescent="0.3">
      <c r="A64" s="109">
        <v>150</v>
      </c>
      <c r="B64" s="110">
        <v>26</v>
      </c>
      <c r="C64" s="110" t="s">
        <v>173</v>
      </c>
      <c r="D64" s="110">
        <v>10</v>
      </c>
      <c r="E64" s="139" t="s">
        <v>18</v>
      </c>
      <c r="F64" s="110" t="s">
        <v>173</v>
      </c>
      <c r="G64" s="110">
        <v>5</v>
      </c>
      <c r="H64" s="110"/>
      <c r="I64" s="110"/>
      <c r="J64" s="110"/>
      <c r="K64" s="110"/>
      <c r="L64" s="116"/>
    </row>
    <row r="65" spans="1:12" x14ac:dyDescent="0.3">
      <c r="A65" s="124">
        <v>150</v>
      </c>
      <c r="B65" s="3">
        <v>26</v>
      </c>
      <c r="C65" s="3" t="s">
        <v>173</v>
      </c>
      <c r="D65" s="3"/>
      <c r="E65" s="3" t="s">
        <v>161</v>
      </c>
      <c r="F65" s="3"/>
      <c r="G65" s="3"/>
      <c r="H65" s="3"/>
      <c r="I65" s="3"/>
      <c r="J65" s="3"/>
      <c r="K65" s="3"/>
      <c r="L65" s="123"/>
    </row>
    <row r="66" spans="1:12" ht="15" thickBot="1" x14ac:dyDescent="0.35">
      <c r="A66" s="111">
        <v>150</v>
      </c>
      <c r="B66" s="112">
        <v>26</v>
      </c>
      <c r="C66" s="112" t="s">
        <v>173</v>
      </c>
      <c r="D66" s="112"/>
      <c r="E66" s="135" t="s">
        <v>164</v>
      </c>
      <c r="F66" s="112" t="s">
        <v>660</v>
      </c>
      <c r="G66" s="112">
        <v>5</v>
      </c>
      <c r="H66" s="112"/>
      <c r="I66" s="112"/>
      <c r="J66" s="112"/>
      <c r="K66" s="112"/>
      <c r="L66" s="117"/>
    </row>
    <row r="67" spans="1:12" x14ac:dyDescent="0.3">
      <c r="A67" s="118">
        <v>151</v>
      </c>
      <c r="B67" s="119">
        <v>27</v>
      </c>
      <c r="C67" s="119" t="s">
        <v>174</v>
      </c>
      <c r="D67" s="119">
        <v>10</v>
      </c>
      <c r="E67" s="140" t="s">
        <v>18</v>
      </c>
      <c r="F67" s="119" t="s">
        <v>174</v>
      </c>
      <c r="G67" s="119">
        <v>4</v>
      </c>
      <c r="H67" s="119" t="s">
        <v>644</v>
      </c>
      <c r="I67" s="119" t="s">
        <v>644</v>
      </c>
      <c r="J67" s="119"/>
      <c r="K67" s="119"/>
      <c r="L67" s="116"/>
    </row>
    <row r="68" spans="1:12" x14ac:dyDescent="0.3">
      <c r="A68" s="125">
        <v>151</v>
      </c>
      <c r="B68" s="7">
        <v>27</v>
      </c>
      <c r="C68" s="7" t="s">
        <v>174</v>
      </c>
      <c r="D68" s="7"/>
      <c r="E68" s="7" t="s">
        <v>161</v>
      </c>
      <c r="F68" s="7"/>
      <c r="G68" s="7"/>
      <c r="H68" s="7"/>
      <c r="I68" s="7"/>
      <c r="J68" s="7"/>
      <c r="K68" s="7"/>
      <c r="L68" s="123"/>
    </row>
    <row r="69" spans="1:12" x14ac:dyDescent="0.3">
      <c r="A69" s="125">
        <v>151</v>
      </c>
      <c r="B69" s="7">
        <v>27</v>
      </c>
      <c r="C69" s="7" t="s">
        <v>174</v>
      </c>
      <c r="D69" s="7"/>
      <c r="E69" s="7" t="s">
        <v>162</v>
      </c>
      <c r="F69" s="7"/>
      <c r="G69" s="7"/>
      <c r="H69" s="7"/>
      <c r="I69" s="7"/>
      <c r="J69" s="7"/>
      <c r="K69" s="7"/>
      <c r="L69" s="123"/>
    </row>
    <row r="70" spans="1:12" ht="15" thickBot="1" x14ac:dyDescent="0.35">
      <c r="A70" s="120">
        <v>151</v>
      </c>
      <c r="B70" s="121">
        <v>27</v>
      </c>
      <c r="C70" s="121" t="s">
        <v>174</v>
      </c>
      <c r="D70" s="121"/>
      <c r="E70" s="137" t="s">
        <v>164</v>
      </c>
      <c r="F70" s="121" t="s">
        <v>661</v>
      </c>
      <c r="G70" s="121">
        <v>5</v>
      </c>
      <c r="H70" s="121" t="s">
        <v>644</v>
      </c>
      <c r="I70" s="121" t="s">
        <v>644</v>
      </c>
      <c r="J70" s="121"/>
      <c r="K70" s="121"/>
      <c r="L70" s="117"/>
    </row>
    <row r="71" spans="1:12" x14ac:dyDescent="0.3">
      <c r="A71" s="105">
        <v>152</v>
      </c>
      <c r="B71" s="106">
        <v>28</v>
      </c>
      <c r="C71" s="106" t="s">
        <v>175</v>
      </c>
      <c r="D71" s="106">
        <v>12</v>
      </c>
      <c r="E71" s="138" t="s">
        <v>18</v>
      </c>
      <c r="F71" s="106"/>
      <c r="G71" s="106">
        <v>1</v>
      </c>
      <c r="H71" s="106"/>
      <c r="I71" s="106"/>
      <c r="J71" s="106"/>
      <c r="K71" s="106"/>
      <c r="L71" s="116"/>
    </row>
    <row r="72" spans="1:12" ht="15" thickBot="1" x14ac:dyDescent="0.35">
      <c r="A72" s="107">
        <v>152</v>
      </c>
      <c r="B72" s="108">
        <v>28</v>
      </c>
      <c r="C72" s="108" t="s">
        <v>175</v>
      </c>
      <c r="D72" s="108"/>
      <c r="E72" s="133" t="s">
        <v>164</v>
      </c>
      <c r="F72" s="108" t="s">
        <v>662</v>
      </c>
      <c r="G72" s="108">
        <v>5</v>
      </c>
      <c r="H72" s="108"/>
      <c r="I72" s="108"/>
      <c r="J72" s="108"/>
      <c r="K72" s="108" t="s">
        <v>663</v>
      </c>
      <c r="L72" s="117"/>
    </row>
    <row r="73" spans="1:12" x14ac:dyDescent="0.3">
      <c r="A73" s="109">
        <v>153</v>
      </c>
      <c r="B73" s="110">
        <v>29</v>
      </c>
      <c r="C73" s="110" t="s">
        <v>176</v>
      </c>
      <c r="D73" s="110"/>
      <c r="E73" s="110" t="s">
        <v>161</v>
      </c>
      <c r="F73" s="110"/>
      <c r="G73" s="110"/>
      <c r="H73" s="110"/>
      <c r="I73" s="110"/>
      <c r="J73" s="110"/>
      <c r="K73" s="110"/>
      <c r="L73" s="116"/>
    </row>
    <row r="74" spans="1:12" x14ac:dyDescent="0.3">
      <c r="A74" s="124">
        <v>153</v>
      </c>
      <c r="B74" s="3">
        <v>29</v>
      </c>
      <c r="C74" s="3" t="s">
        <v>176</v>
      </c>
      <c r="D74" s="3"/>
      <c r="E74" s="3" t="s">
        <v>162</v>
      </c>
      <c r="F74" s="3"/>
      <c r="G74" s="3"/>
      <c r="H74" s="3"/>
      <c r="I74" s="3"/>
      <c r="J74" s="3"/>
      <c r="K74" s="3"/>
      <c r="L74" s="123"/>
    </row>
    <row r="75" spans="1:12" x14ac:dyDescent="0.3">
      <c r="A75" s="124">
        <v>153</v>
      </c>
      <c r="B75" s="3">
        <v>29</v>
      </c>
      <c r="C75" s="3" t="s">
        <v>176</v>
      </c>
      <c r="D75" s="3"/>
      <c r="E75" s="134" t="s">
        <v>164</v>
      </c>
      <c r="F75" s="3" t="s">
        <v>664</v>
      </c>
      <c r="G75" s="3">
        <v>5</v>
      </c>
      <c r="H75" s="3"/>
      <c r="I75" s="3"/>
      <c r="J75" s="3"/>
      <c r="K75" s="3"/>
      <c r="L75" s="123"/>
    </row>
    <row r="76" spans="1:12" ht="15" thickBot="1" x14ac:dyDescent="0.35">
      <c r="A76" s="111">
        <v>153</v>
      </c>
      <c r="B76" s="112">
        <v>29</v>
      </c>
      <c r="C76" s="112" t="s">
        <v>176</v>
      </c>
      <c r="D76" s="112">
        <v>9</v>
      </c>
      <c r="E76" s="135" t="s">
        <v>18</v>
      </c>
      <c r="F76" s="112" t="s">
        <v>176</v>
      </c>
      <c r="G76" s="112">
        <v>4</v>
      </c>
      <c r="H76" s="112"/>
      <c r="I76" s="112"/>
      <c r="J76" s="112"/>
      <c r="K76" s="112"/>
      <c r="L76" s="117"/>
    </row>
    <row r="77" spans="1:12" x14ac:dyDescent="0.3">
      <c r="A77" s="118">
        <v>154</v>
      </c>
      <c r="B77" s="119">
        <v>30</v>
      </c>
      <c r="C77" s="119" t="s">
        <v>177</v>
      </c>
      <c r="D77" s="119"/>
      <c r="E77" s="119" t="s">
        <v>161</v>
      </c>
      <c r="F77" s="119"/>
      <c r="G77" s="119"/>
      <c r="H77" s="119"/>
      <c r="I77" s="119"/>
      <c r="J77" s="119"/>
      <c r="K77" s="119"/>
      <c r="L77" s="116"/>
    </row>
    <row r="78" spans="1:12" x14ac:dyDescent="0.3">
      <c r="A78" s="125">
        <v>154</v>
      </c>
      <c r="B78" s="7">
        <v>30</v>
      </c>
      <c r="C78" s="7" t="s">
        <v>177</v>
      </c>
      <c r="D78" s="7"/>
      <c r="E78" s="7" t="s">
        <v>162</v>
      </c>
      <c r="F78" s="7"/>
      <c r="G78" s="7"/>
      <c r="H78" s="7"/>
      <c r="I78" s="7"/>
      <c r="J78" s="7"/>
      <c r="K78" s="7"/>
      <c r="L78" s="123"/>
    </row>
    <row r="79" spans="1:12" x14ac:dyDescent="0.3">
      <c r="A79" s="125">
        <v>154</v>
      </c>
      <c r="B79" s="7">
        <v>30</v>
      </c>
      <c r="C79" s="7" t="s">
        <v>177</v>
      </c>
      <c r="D79" s="7"/>
      <c r="E79" s="136" t="s">
        <v>164</v>
      </c>
      <c r="F79" s="7" t="s">
        <v>665</v>
      </c>
      <c r="G79" s="7">
        <v>5</v>
      </c>
      <c r="H79" s="7"/>
      <c r="I79" s="7"/>
      <c r="J79" s="7"/>
      <c r="K79" s="7"/>
      <c r="L79" s="123"/>
    </row>
    <row r="80" spans="1:12" ht="15" thickBot="1" x14ac:dyDescent="0.35">
      <c r="A80" s="120">
        <v>154</v>
      </c>
      <c r="B80" s="121">
        <v>30</v>
      </c>
      <c r="C80" s="121" t="s">
        <v>177</v>
      </c>
      <c r="D80" s="121">
        <v>10</v>
      </c>
      <c r="E80" s="137" t="s">
        <v>18</v>
      </c>
      <c r="F80" s="121" t="s">
        <v>177</v>
      </c>
      <c r="G80" s="121">
        <v>3</v>
      </c>
      <c r="H80" s="121" t="s">
        <v>666</v>
      </c>
      <c r="I80" s="121" t="s">
        <v>666</v>
      </c>
      <c r="J80" s="121" t="s">
        <v>631</v>
      </c>
      <c r="K80" s="121" t="s">
        <v>631</v>
      </c>
      <c r="L80" s="117"/>
    </row>
    <row r="81" spans="1:12" x14ac:dyDescent="0.3">
      <c r="A81" s="105">
        <v>155</v>
      </c>
      <c r="B81" s="106">
        <v>31</v>
      </c>
      <c r="C81" s="106" t="s">
        <v>178</v>
      </c>
      <c r="D81" s="106"/>
      <c r="E81" s="106" t="s">
        <v>161</v>
      </c>
      <c r="F81" s="106"/>
      <c r="G81" s="106"/>
      <c r="H81" s="106"/>
      <c r="I81" s="106"/>
      <c r="J81" s="106"/>
      <c r="K81" s="106"/>
      <c r="L81" s="116"/>
    </row>
    <row r="82" spans="1:12" x14ac:dyDescent="0.3">
      <c r="A82" s="122">
        <v>155</v>
      </c>
      <c r="B82" s="10">
        <v>31</v>
      </c>
      <c r="C82" s="10" t="s">
        <v>178</v>
      </c>
      <c r="D82" s="10"/>
      <c r="E82" s="10" t="s">
        <v>162</v>
      </c>
      <c r="F82" s="10"/>
      <c r="G82" s="10"/>
      <c r="H82" s="10"/>
      <c r="I82" s="10"/>
      <c r="J82" s="10"/>
      <c r="K82" s="10"/>
      <c r="L82" s="123"/>
    </row>
    <row r="83" spans="1:12" x14ac:dyDescent="0.3">
      <c r="A83" s="122">
        <v>155</v>
      </c>
      <c r="B83" s="10">
        <v>31</v>
      </c>
      <c r="C83" s="10" t="s">
        <v>178</v>
      </c>
      <c r="D83" s="10"/>
      <c r="E83" s="132" t="s">
        <v>164</v>
      </c>
      <c r="F83" s="10" t="s">
        <v>667</v>
      </c>
      <c r="G83" s="10">
        <v>5</v>
      </c>
      <c r="H83" s="10"/>
      <c r="I83" s="10"/>
      <c r="J83" s="10"/>
      <c r="K83" s="10"/>
      <c r="L83" s="123"/>
    </row>
    <row r="84" spans="1:12" ht="15" thickBot="1" x14ac:dyDescent="0.35">
      <c r="A84" s="107">
        <v>155</v>
      </c>
      <c r="B84" s="108">
        <v>31</v>
      </c>
      <c r="C84" s="108" t="s">
        <v>178</v>
      </c>
      <c r="D84" s="108">
        <v>9</v>
      </c>
      <c r="E84" s="133" t="s">
        <v>18</v>
      </c>
      <c r="F84" s="108" t="s">
        <v>178</v>
      </c>
      <c r="G84" s="108">
        <v>4</v>
      </c>
      <c r="H84" s="108" t="s">
        <v>666</v>
      </c>
      <c r="I84" s="108" t="s">
        <v>666</v>
      </c>
      <c r="J84" s="108" t="s">
        <v>666</v>
      </c>
      <c r="K84" s="108" t="s">
        <v>666</v>
      </c>
      <c r="L84" s="117"/>
    </row>
    <row r="85" spans="1:12" x14ac:dyDescent="0.3">
      <c r="A85" s="109">
        <v>156</v>
      </c>
      <c r="B85" s="110">
        <v>32</v>
      </c>
      <c r="C85" s="110" t="s">
        <v>179</v>
      </c>
      <c r="D85" s="110"/>
      <c r="E85" s="139" t="s">
        <v>18</v>
      </c>
      <c r="F85" s="110"/>
      <c r="G85" s="110"/>
      <c r="H85" s="110"/>
      <c r="I85" s="110"/>
      <c r="J85" s="110"/>
      <c r="K85" s="110"/>
      <c r="L85" s="116"/>
    </row>
    <row r="86" spans="1:12" x14ac:dyDescent="0.3">
      <c r="A86" s="124">
        <v>156</v>
      </c>
      <c r="B86" s="3">
        <v>32</v>
      </c>
      <c r="C86" s="3" t="s">
        <v>179</v>
      </c>
      <c r="D86" s="3"/>
      <c r="E86" s="3" t="s">
        <v>161</v>
      </c>
      <c r="F86" s="3"/>
      <c r="G86" s="3"/>
      <c r="H86" s="3"/>
      <c r="I86" s="3"/>
      <c r="J86" s="3"/>
      <c r="K86" s="3"/>
      <c r="L86" s="123"/>
    </row>
    <row r="87" spans="1:12" x14ac:dyDescent="0.3">
      <c r="A87" s="124">
        <v>156</v>
      </c>
      <c r="B87" s="3">
        <v>32</v>
      </c>
      <c r="C87" s="3" t="s">
        <v>179</v>
      </c>
      <c r="D87" s="3"/>
      <c r="E87" s="134" t="s">
        <v>164</v>
      </c>
      <c r="F87" s="147" t="s">
        <v>668</v>
      </c>
      <c r="G87" s="147">
        <v>5</v>
      </c>
      <c r="H87" s="147"/>
      <c r="I87" s="147" t="s">
        <v>669</v>
      </c>
      <c r="J87" s="147"/>
      <c r="K87" s="147" t="s">
        <v>647</v>
      </c>
      <c r="L87" s="148"/>
    </row>
    <row r="88" spans="1:12" ht="15" thickBot="1" x14ac:dyDescent="0.35">
      <c r="A88" s="111">
        <v>156</v>
      </c>
      <c r="B88" s="112">
        <v>32</v>
      </c>
      <c r="C88" s="112" t="s">
        <v>179</v>
      </c>
      <c r="D88" s="112"/>
      <c r="E88" s="112" t="s">
        <v>162</v>
      </c>
      <c r="F88" s="112"/>
      <c r="G88" s="112"/>
      <c r="H88" s="112"/>
      <c r="I88" s="112"/>
      <c r="J88" s="112"/>
      <c r="K88" s="112"/>
      <c r="L88" s="117"/>
    </row>
    <row r="89" spans="1:12" x14ac:dyDescent="0.3">
      <c r="A89" s="118">
        <v>157</v>
      </c>
      <c r="B89" s="119">
        <v>33</v>
      </c>
      <c r="C89" s="119" t="s">
        <v>180</v>
      </c>
      <c r="D89" s="119"/>
      <c r="E89" s="140" t="s">
        <v>164</v>
      </c>
      <c r="F89" s="119"/>
      <c r="G89" s="119"/>
      <c r="H89" s="119"/>
      <c r="I89" s="119"/>
      <c r="J89" s="119"/>
      <c r="K89" s="119"/>
      <c r="L89" s="116"/>
    </row>
    <row r="90" spans="1:12" ht="15" thickBot="1" x14ac:dyDescent="0.35">
      <c r="A90" s="120">
        <v>157</v>
      </c>
      <c r="B90" s="121">
        <v>33</v>
      </c>
      <c r="C90" s="121" t="s">
        <v>180</v>
      </c>
      <c r="D90" s="121"/>
      <c r="E90" s="137" t="s">
        <v>18</v>
      </c>
      <c r="F90" s="121"/>
      <c r="G90" s="121"/>
      <c r="H90" s="121"/>
      <c r="I90" s="121"/>
      <c r="J90" s="121"/>
      <c r="K90" s="121"/>
      <c r="L90" s="117"/>
    </row>
    <row r="91" spans="1:12" x14ac:dyDescent="0.3">
      <c r="A91" s="105">
        <v>158</v>
      </c>
      <c r="B91" s="106">
        <v>34</v>
      </c>
      <c r="C91" s="106" t="s">
        <v>181</v>
      </c>
      <c r="D91" s="106"/>
      <c r="E91" s="138" t="s">
        <v>162</v>
      </c>
      <c r="F91" s="106"/>
      <c r="G91" s="106"/>
      <c r="H91" s="106"/>
      <c r="I91" s="106"/>
      <c r="J91" s="106"/>
      <c r="K91" s="106"/>
      <c r="L91" s="116"/>
    </row>
    <row r="92" spans="1:12" ht="15" thickBot="1" x14ac:dyDescent="0.35">
      <c r="A92" s="107">
        <v>158</v>
      </c>
      <c r="B92" s="108">
        <v>34</v>
      </c>
      <c r="C92" s="108" t="s">
        <v>181</v>
      </c>
      <c r="D92" s="108"/>
      <c r="E92" s="133" t="s">
        <v>18</v>
      </c>
      <c r="F92" s="108"/>
      <c r="G92" s="108"/>
      <c r="H92" s="108"/>
      <c r="I92" s="108"/>
      <c r="J92" s="108"/>
      <c r="K92" s="108"/>
      <c r="L92" s="117"/>
    </row>
    <row r="93" spans="1:12" x14ac:dyDescent="0.3">
      <c r="A93" s="109">
        <v>159</v>
      </c>
      <c r="B93" s="110">
        <v>35</v>
      </c>
      <c r="C93" s="110" t="s">
        <v>182</v>
      </c>
      <c r="D93" s="110"/>
      <c r="E93" s="139" t="s">
        <v>18</v>
      </c>
      <c r="F93" s="110"/>
      <c r="G93" s="110"/>
      <c r="H93" s="110"/>
      <c r="I93" s="110"/>
      <c r="J93" s="110"/>
      <c r="K93" s="110"/>
      <c r="L93" s="116"/>
    </row>
    <row r="94" spans="1:12" x14ac:dyDescent="0.3">
      <c r="A94" s="124">
        <v>159</v>
      </c>
      <c r="B94" s="3">
        <v>35</v>
      </c>
      <c r="C94" s="3" t="s">
        <v>182</v>
      </c>
      <c r="D94" s="3"/>
      <c r="E94" s="3" t="s">
        <v>161</v>
      </c>
      <c r="F94" s="3"/>
      <c r="G94" s="3"/>
      <c r="H94" s="3"/>
      <c r="I94" s="3"/>
      <c r="J94" s="3"/>
      <c r="K94" s="3"/>
      <c r="L94" s="123"/>
    </row>
    <row r="95" spans="1:12" ht="15" thickBot="1" x14ac:dyDescent="0.35">
      <c r="A95" s="111">
        <v>159</v>
      </c>
      <c r="B95" s="112">
        <v>35</v>
      </c>
      <c r="C95" s="112" t="s">
        <v>182</v>
      </c>
      <c r="D95" s="112"/>
      <c r="E95" s="135" t="s">
        <v>164</v>
      </c>
      <c r="F95" s="112"/>
      <c r="G95" s="112"/>
      <c r="H95" s="112"/>
      <c r="I95" s="112"/>
      <c r="J95" s="112"/>
      <c r="K95" s="112"/>
      <c r="L95" s="117"/>
    </row>
    <row r="96" spans="1:12" x14ac:dyDescent="0.3">
      <c r="A96" s="118">
        <v>160</v>
      </c>
      <c r="B96" s="119">
        <v>36</v>
      </c>
      <c r="C96" s="119" t="s">
        <v>183</v>
      </c>
      <c r="D96" s="119"/>
      <c r="E96" s="119" t="s">
        <v>161</v>
      </c>
      <c r="F96" s="119"/>
      <c r="G96" s="119"/>
      <c r="H96" s="119"/>
      <c r="I96" s="119"/>
      <c r="J96" s="119"/>
      <c r="K96" s="119"/>
      <c r="L96" s="116"/>
    </row>
    <row r="97" spans="1:12" x14ac:dyDescent="0.3">
      <c r="A97" s="125">
        <v>160</v>
      </c>
      <c r="B97" s="7">
        <v>36</v>
      </c>
      <c r="C97" s="7" t="s">
        <v>183</v>
      </c>
      <c r="D97" s="7"/>
      <c r="E97" s="136" t="s">
        <v>162</v>
      </c>
      <c r="F97" s="7"/>
      <c r="G97" s="7"/>
      <c r="H97" s="7"/>
      <c r="I97" s="7"/>
      <c r="J97" s="7"/>
      <c r="K97" s="7"/>
      <c r="L97" s="123"/>
    </row>
    <row r="98" spans="1:12" ht="15" thickBot="1" x14ac:dyDescent="0.35">
      <c r="A98" s="120">
        <v>160</v>
      </c>
      <c r="B98" s="121">
        <v>36</v>
      </c>
      <c r="C98" s="121" t="s">
        <v>183</v>
      </c>
      <c r="D98" s="121"/>
      <c r="E98" s="137" t="s">
        <v>18</v>
      </c>
      <c r="F98" s="121"/>
      <c r="G98" s="121"/>
      <c r="H98" s="121"/>
      <c r="I98" s="121"/>
      <c r="J98" s="121"/>
      <c r="K98" s="121"/>
      <c r="L98" s="117"/>
    </row>
    <row r="99" spans="1:12" x14ac:dyDescent="0.3">
      <c r="A99" s="105">
        <v>161</v>
      </c>
      <c r="B99" s="106">
        <v>37</v>
      </c>
      <c r="C99" s="106" t="s">
        <v>184</v>
      </c>
      <c r="D99" s="106"/>
      <c r="E99" s="138" t="s">
        <v>161</v>
      </c>
      <c r="F99" s="106"/>
      <c r="G99" s="106"/>
      <c r="H99" s="106"/>
      <c r="I99" s="106"/>
      <c r="J99" s="106"/>
      <c r="K99" s="106"/>
      <c r="L99" s="116"/>
    </row>
    <row r="100" spans="1:12" x14ac:dyDescent="0.3">
      <c r="A100" s="122">
        <v>161</v>
      </c>
      <c r="B100" s="10">
        <v>37</v>
      </c>
      <c r="C100" s="10" t="s">
        <v>184</v>
      </c>
      <c r="D100" s="10"/>
      <c r="E100" s="10" t="s">
        <v>162</v>
      </c>
      <c r="F100" s="10"/>
      <c r="G100" s="10"/>
      <c r="H100" s="10"/>
      <c r="I100" s="10"/>
      <c r="J100" s="10"/>
      <c r="K100" s="10"/>
      <c r="L100" s="123"/>
    </row>
    <row r="101" spans="1:12" ht="15" thickBot="1" x14ac:dyDescent="0.35">
      <c r="A101" s="107">
        <v>161</v>
      </c>
      <c r="B101" s="108">
        <v>37</v>
      </c>
      <c r="C101" s="108" t="s">
        <v>184</v>
      </c>
      <c r="D101" s="108"/>
      <c r="E101" s="133" t="s">
        <v>18</v>
      </c>
      <c r="F101" s="108"/>
      <c r="G101" s="108"/>
      <c r="H101" s="108"/>
      <c r="I101" s="108"/>
      <c r="J101" s="108"/>
      <c r="K101" s="108"/>
      <c r="L101" s="117"/>
    </row>
    <row r="102" spans="1:12" x14ac:dyDescent="0.3">
      <c r="A102" s="109">
        <v>162</v>
      </c>
      <c r="B102" s="110">
        <v>38</v>
      </c>
      <c r="C102" s="110" t="s">
        <v>185</v>
      </c>
      <c r="D102" s="110"/>
      <c r="E102" s="139" t="s">
        <v>161</v>
      </c>
      <c r="F102" s="110"/>
      <c r="G102" s="110"/>
      <c r="H102" s="110"/>
      <c r="I102" s="110"/>
      <c r="J102" s="110"/>
      <c r="K102" s="110"/>
      <c r="L102" s="116"/>
    </row>
    <row r="103" spans="1:12" x14ac:dyDescent="0.3">
      <c r="A103" s="124">
        <v>162</v>
      </c>
      <c r="B103" s="3">
        <v>38</v>
      </c>
      <c r="C103" s="3" t="s">
        <v>185</v>
      </c>
      <c r="D103" s="3"/>
      <c r="E103" s="3" t="s">
        <v>162</v>
      </c>
      <c r="F103" s="3"/>
      <c r="G103" s="3"/>
      <c r="H103" s="3"/>
      <c r="I103" s="3"/>
      <c r="J103" s="3"/>
      <c r="K103" s="3"/>
      <c r="L103" s="123"/>
    </row>
    <row r="104" spans="1:12" ht="15" thickBot="1" x14ac:dyDescent="0.35">
      <c r="A104" s="111">
        <v>162</v>
      </c>
      <c r="B104" s="112">
        <v>38</v>
      </c>
      <c r="C104" s="112" t="s">
        <v>185</v>
      </c>
      <c r="D104" s="112"/>
      <c r="E104" s="135" t="s">
        <v>18</v>
      </c>
      <c r="F104" s="112"/>
      <c r="G104" s="112"/>
      <c r="H104" s="112"/>
      <c r="I104" s="112"/>
      <c r="J104" s="112"/>
      <c r="K104" s="112"/>
      <c r="L104" s="117"/>
    </row>
    <row r="105" spans="1:12" x14ac:dyDescent="0.3">
      <c r="A105" s="118">
        <v>163</v>
      </c>
      <c r="B105" s="119">
        <v>39</v>
      </c>
      <c r="C105" s="119" t="s">
        <v>186</v>
      </c>
      <c r="D105" s="119"/>
      <c r="E105" s="140" t="s">
        <v>18</v>
      </c>
      <c r="F105" s="119"/>
      <c r="G105" s="119"/>
      <c r="H105" s="119"/>
      <c r="I105" s="119"/>
      <c r="J105" s="119"/>
      <c r="K105" s="119"/>
      <c r="L105" s="116"/>
    </row>
    <row r="106" spans="1:12" x14ac:dyDescent="0.3">
      <c r="A106" s="125">
        <v>163</v>
      </c>
      <c r="B106" s="7">
        <v>39</v>
      </c>
      <c r="C106" s="7" t="s">
        <v>186</v>
      </c>
      <c r="D106" s="7"/>
      <c r="E106" s="136" t="s">
        <v>161</v>
      </c>
      <c r="F106" s="7"/>
      <c r="G106" s="7"/>
      <c r="H106" s="7"/>
      <c r="I106" s="7"/>
      <c r="J106" s="7"/>
      <c r="K106" s="7"/>
      <c r="L106" s="123"/>
    </row>
    <row r="107" spans="1:12" ht="15" thickBot="1" x14ac:dyDescent="0.35">
      <c r="A107" s="120">
        <v>163</v>
      </c>
      <c r="B107" s="121">
        <v>39</v>
      </c>
      <c r="C107" s="121" t="s">
        <v>186</v>
      </c>
      <c r="D107" s="121"/>
      <c r="E107" s="121" t="s">
        <v>162</v>
      </c>
      <c r="F107" s="121"/>
      <c r="G107" s="121"/>
      <c r="H107" s="121"/>
      <c r="I107" s="121"/>
      <c r="J107" s="121"/>
      <c r="K107" s="121"/>
      <c r="L107" s="117"/>
    </row>
    <row r="108" spans="1:12" x14ac:dyDescent="0.3">
      <c r="A108" s="105">
        <v>164</v>
      </c>
      <c r="B108" s="106">
        <v>40</v>
      </c>
      <c r="C108" s="106" t="s">
        <v>187</v>
      </c>
      <c r="D108" s="106"/>
      <c r="E108" s="138" t="s">
        <v>161</v>
      </c>
      <c r="F108" s="106"/>
      <c r="G108" s="106"/>
      <c r="H108" s="106"/>
      <c r="I108" s="106"/>
      <c r="J108" s="106"/>
      <c r="K108" s="106"/>
      <c r="L108" s="116"/>
    </row>
    <row r="109" spans="1:12" x14ac:dyDescent="0.3">
      <c r="A109" s="122">
        <v>164</v>
      </c>
      <c r="B109" s="10">
        <v>40</v>
      </c>
      <c r="C109" s="10" t="s">
        <v>187</v>
      </c>
      <c r="D109" s="10"/>
      <c r="E109" s="10" t="s">
        <v>162</v>
      </c>
      <c r="F109" s="10"/>
      <c r="G109" s="10"/>
      <c r="H109" s="10"/>
      <c r="I109" s="10"/>
      <c r="J109" s="10"/>
      <c r="K109" s="10"/>
      <c r="L109" s="123"/>
    </row>
    <row r="110" spans="1:12" ht="15" thickBot="1" x14ac:dyDescent="0.35">
      <c r="A110" s="107">
        <v>164</v>
      </c>
      <c r="B110" s="108">
        <v>40</v>
      </c>
      <c r="C110" s="108" t="s">
        <v>187</v>
      </c>
      <c r="D110" s="108"/>
      <c r="E110" s="133" t="s">
        <v>18</v>
      </c>
      <c r="F110" s="108"/>
      <c r="G110" s="108"/>
      <c r="H110" s="108"/>
      <c r="I110" s="108"/>
      <c r="J110" s="108"/>
      <c r="K110" s="108"/>
      <c r="L110" s="117"/>
    </row>
    <row r="111" spans="1:12" x14ac:dyDescent="0.3">
      <c r="A111" s="109">
        <v>165</v>
      </c>
      <c r="B111" s="110">
        <v>41</v>
      </c>
      <c r="C111" s="110" t="s">
        <v>188</v>
      </c>
      <c r="D111" s="110"/>
      <c r="E111" s="139" t="s">
        <v>18</v>
      </c>
      <c r="F111" s="110"/>
      <c r="G111" s="110"/>
      <c r="H111" s="110"/>
      <c r="I111" s="110"/>
      <c r="J111" s="110"/>
      <c r="K111" s="110"/>
      <c r="L111" s="116"/>
    </row>
    <row r="112" spans="1:12" ht="15" thickBot="1" x14ac:dyDescent="0.35">
      <c r="A112" s="111">
        <v>165</v>
      </c>
      <c r="B112" s="112">
        <v>41</v>
      </c>
      <c r="C112" s="112" t="s">
        <v>188</v>
      </c>
      <c r="D112" s="112"/>
      <c r="E112" s="135" t="s">
        <v>161</v>
      </c>
      <c r="F112" s="112"/>
      <c r="G112" s="112"/>
      <c r="H112" s="112"/>
      <c r="I112" s="112"/>
      <c r="J112" s="112"/>
      <c r="K112" s="112"/>
      <c r="L112" s="117"/>
    </row>
    <row r="113" spans="1:12" x14ac:dyDescent="0.3">
      <c r="A113" s="118">
        <v>166</v>
      </c>
      <c r="B113" s="119">
        <v>42</v>
      </c>
      <c r="C113" s="119" t="s">
        <v>189</v>
      </c>
      <c r="D113" s="119"/>
      <c r="E113" s="140" t="s">
        <v>18</v>
      </c>
      <c r="F113" s="119"/>
      <c r="G113" s="119"/>
      <c r="H113" s="119"/>
      <c r="I113" s="119"/>
      <c r="J113" s="119"/>
      <c r="K113" s="119"/>
      <c r="L113" s="116"/>
    </row>
    <row r="114" spans="1:12" x14ac:dyDescent="0.3">
      <c r="A114" s="125">
        <v>166</v>
      </c>
      <c r="B114" s="7">
        <v>42</v>
      </c>
      <c r="C114" s="7" t="s">
        <v>189</v>
      </c>
      <c r="D114" s="7"/>
      <c r="E114" s="7" t="s">
        <v>161</v>
      </c>
      <c r="F114" s="7"/>
      <c r="G114" s="7"/>
      <c r="H114" s="7"/>
      <c r="I114" s="7"/>
      <c r="J114" s="7"/>
      <c r="K114" s="7"/>
      <c r="L114" s="123"/>
    </row>
    <row r="115" spans="1:12" x14ac:dyDescent="0.3">
      <c r="A115" s="125">
        <v>166</v>
      </c>
      <c r="B115" s="7">
        <v>42</v>
      </c>
      <c r="C115" s="7" t="s">
        <v>189</v>
      </c>
      <c r="D115" s="7"/>
      <c r="E115" s="7" t="s">
        <v>162</v>
      </c>
      <c r="F115" s="7"/>
      <c r="G115" s="7"/>
      <c r="H115" s="7"/>
      <c r="I115" s="7"/>
      <c r="J115" s="7"/>
      <c r="K115" s="7"/>
      <c r="L115" s="123"/>
    </row>
    <row r="116" spans="1:12" ht="15" thickBot="1" x14ac:dyDescent="0.35">
      <c r="A116" s="120">
        <v>166</v>
      </c>
      <c r="B116" s="121">
        <v>42</v>
      </c>
      <c r="C116" s="121" t="s">
        <v>189</v>
      </c>
      <c r="D116" s="121"/>
      <c r="E116" s="137" t="s">
        <v>164</v>
      </c>
      <c r="F116" s="121"/>
      <c r="G116" s="121"/>
      <c r="H116" s="121"/>
      <c r="I116" s="121"/>
      <c r="J116" s="121"/>
      <c r="K116" s="121"/>
      <c r="L116" s="117"/>
    </row>
    <row r="117" spans="1:12" x14ac:dyDescent="0.3">
      <c r="A117" s="105">
        <v>167</v>
      </c>
      <c r="B117" s="106">
        <v>43</v>
      </c>
      <c r="C117" s="106" t="s">
        <v>190</v>
      </c>
      <c r="D117" s="106"/>
      <c r="E117" s="138" t="s">
        <v>18</v>
      </c>
      <c r="F117" s="106"/>
      <c r="G117" s="106"/>
      <c r="H117" s="106"/>
      <c r="I117" s="106"/>
      <c r="J117" s="106"/>
      <c r="K117" s="106"/>
      <c r="L117" s="116"/>
    </row>
    <row r="118" spans="1:12" x14ac:dyDescent="0.3">
      <c r="A118" s="122">
        <v>167</v>
      </c>
      <c r="B118" s="10">
        <v>43</v>
      </c>
      <c r="C118" s="10" t="s">
        <v>190</v>
      </c>
      <c r="D118" s="10"/>
      <c r="E118" s="10" t="s">
        <v>161</v>
      </c>
      <c r="F118" s="10"/>
      <c r="G118" s="10"/>
      <c r="H118" s="10"/>
      <c r="I118" s="10"/>
      <c r="J118" s="10"/>
      <c r="K118" s="10"/>
      <c r="L118" s="123"/>
    </row>
    <row r="119" spans="1:12" x14ac:dyDescent="0.3">
      <c r="A119" s="122">
        <v>167</v>
      </c>
      <c r="B119" s="10">
        <v>43</v>
      </c>
      <c r="C119" s="10" t="s">
        <v>190</v>
      </c>
      <c r="D119" s="10"/>
      <c r="E119" s="10" t="s">
        <v>162</v>
      </c>
      <c r="F119" s="10"/>
      <c r="G119" s="10"/>
      <c r="H119" s="10"/>
      <c r="I119" s="10"/>
      <c r="J119" s="10"/>
      <c r="K119" s="10"/>
      <c r="L119" s="123"/>
    </row>
    <row r="120" spans="1:12" ht="15" thickBot="1" x14ac:dyDescent="0.35">
      <c r="A120" s="107">
        <v>167</v>
      </c>
      <c r="B120" s="108">
        <v>43</v>
      </c>
      <c r="C120" s="108" t="s">
        <v>190</v>
      </c>
      <c r="D120" s="108"/>
      <c r="E120" s="133" t="s">
        <v>164</v>
      </c>
      <c r="F120" s="108"/>
      <c r="G120" s="108"/>
      <c r="H120" s="108"/>
      <c r="I120" s="108"/>
      <c r="J120" s="108"/>
      <c r="K120" s="108"/>
      <c r="L120" s="117"/>
    </row>
    <row r="121" spans="1:12" x14ac:dyDescent="0.3">
      <c r="A121" s="109">
        <v>168</v>
      </c>
      <c r="B121" s="110">
        <v>44</v>
      </c>
      <c r="C121" s="110" t="s">
        <v>191</v>
      </c>
      <c r="D121" s="110"/>
      <c r="E121" s="110" t="s">
        <v>161</v>
      </c>
      <c r="F121" s="110"/>
      <c r="G121" s="110"/>
      <c r="H121" s="110"/>
      <c r="I121" s="110"/>
      <c r="J121" s="110"/>
      <c r="K121" s="110"/>
      <c r="L121" s="116"/>
    </row>
    <row r="122" spans="1:12" x14ac:dyDescent="0.3">
      <c r="A122" s="124">
        <v>168</v>
      </c>
      <c r="B122" s="3">
        <v>44</v>
      </c>
      <c r="C122" s="3" t="s">
        <v>191</v>
      </c>
      <c r="D122" s="3"/>
      <c r="E122" s="134" t="s">
        <v>162</v>
      </c>
      <c r="F122" s="3"/>
      <c r="G122" s="3"/>
      <c r="H122" s="3"/>
      <c r="I122" s="3"/>
      <c r="J122" s="3"/>
      <c r="K122" s="3"/>
      <c r="L122" s="123"/>
    </row>
    <row r="123" spans="1:12" ht="15" thickBot="1" x14ac:dyDescent="0.35">
      <c r="A123" s="111">
        <v>168</v>
      </c>
      <c r="B123" s="112">
        <v>44</v>
      </c>
      <c r="C123" s="112" t="s">
        <v>191</v>
      </c>
      <c r="D123" s="112"/>
      <c r="E123" s="135" t="s">
        <v>18</v>
      </c>
      <c r="F123" s="112"/>
      <c r="G123" s="112"/>
      <c r="H123" s="112"/>
      <c r="I123" s="112"/>
      <c r="J123" s="112"/>
      <c r="K123" s="112"/>
      <c r="L123" s="117"/>
    </row>
    <row r="124" spans="1:12" x14ac:dyDescent="0.3">
      <c r="A124" s="118">
        <v>169</v>
      </c>
      <c r="B124" s="119">
        <v>45</v>
      </c>
      <c r="C124" s="119" t="s">
        <v>192</v>
      </c>
      <c r="D124" s="119"/>
      <c r="E124" s="140" t="s">
        <v>18</v>
      </c>
      <c r="F124" s="119"/>
      <c r="G124" s="119"/>
      <c r="H124" s="119"/>
      <c r="I124" s="119"/>
      <c r="J124" s="119"/>
      <c r="K124" s="119"/>
      <c r="L124" s="116"/>
    </row>
    <row r="125" spans="1:12" ht="15" thickBot="1" x14ac:dyDescent="0.35">
      <c r="A125" s="120">
        <v>169</v>
      </c>
      <c r="B125" s="121">
        <v>45</v>
      </c>
      <c r="C125" s="121" t="s">
        <v>192</v>
      </c>
      <c r="D125" s="121"/>
      <c r="E125" s="137" t="s">
        <v>162</v>
      </c>
      <c r="F125" s="121"/>
      <c r="G125" s="121"/>
      <c r="H125" s="121"/>
      <c r="I125" s="121"/>
      <c r="J125" s="121"/>
      <c r="K125" s="121"/>
      <c r="L125" s="117"/>
    </row>
    <row r="126" spans="1:12" x14ac:dyDescent="0.3">
      <c r="A126" s="105">
        <v>170</v>
      </c>
      <c r="B126" s="106">
        <v>46</v>
      </c>
      <c r="C126" s="106" t="s">
        <v>193</v>
      </c>
      <c r="D126" s="106"/>
      <c r="E126" s="138" t="s">
        <v>162</v>
      </c>
      <c r="F126" s="106"/>
      <c r="G126" s="106"/>
      <c r="H126" s="106"/>
      <c r="I126" s="106"/>
      <c r="J126" s="106"/>
      <c r="K126" s="106"/>
      <c r="L126" s="116"/>
    </row>
    <row r="127" spans="1:12" ht="15" thickBot="1" x14ac:dyDescent="0.35">
      <c r="A127" s="107">
        <v>170</v>
      </c>
      <c r="B127" s="108">
        <v>46</v>
      </c>
      <c r="C127" s="108" t="s">
        <v>193</v>
      </c>
      <c r="D127" s="108"/>
      <c r="E127" s="133" t="s">
        <v>18</v>
      </c>
      <c r="F127" s="108"/>
      <c r="G127" s="108"/>
      <c r="H127" s="108"/>
      <c r="I127" s="108"/>
      <c r="J127" s="108"/>
      <c r="K127" s="108"/>
      <c r="L127" s="117"/>
    </row>
    <row r="128" spans="1:12" x14ac:dyDescent="0.3">
      <c r="A128" s="109">
        <v>171</v>
      </c>
      <c r="B128" s="110">
        <v>47</v>
      </c>
      <c r="C128" s="110" t="s">
        <v>194</v>
      </c>
      <c r="D128" s="110"/>
      <c r="E128" s="139" t="s">
        <v>18</v>
      </c>
      <c r="F128" s="110"/>
      <c r="G128" s="110"/>
      <c r="H128" s="110"/>
      <c r="I128" s="110"/>
      <c r="J128" s="110"/>
      <c r="K128" s="110"/>
      <c r="L128" s="116"/>
    </row>
    <row r="129" spans="1:12" x14ac:dyDescent="0.3">
      <c r="A129" s="124">
        <v>171</v>
      </c>
      <c r="B129" s="3">
        <v>47</v>
      </c>
      <c r="C129" s="3" t="s">
        <v>194</v>
      </c>
      <c r="D129" s="3"/>
      <c r="E129" s="3" t="s">
        <v>161</v>
      </c>
      <c r="F129" s="3"/>
      <c r="G129" s="3"/>
      <c r="H129" s="3"/>
      <c r="I129" s="3"/>
      <c r="J129" s="3"/>
      <c r="K129" s="3"/>
      <c r="L129" s="123"/>
    </row>
    <row r="130" spans="1:12" ht="15" thickBot="1" x14ac:dyDescent="0.35">
      <c r="A130" s="111">
        <v>171</v>
      </c>
      <c r="B130" s="112">
        <v>47</v>
      </c>
      <c r="C130" s="112" t="s">
        <v>194</v>
      </c>
      <c r="D130" s="112"/>
      <c r="E130" s="135" t="s">
        <v>162</v>
      </c>
      <c r="F130" s="112"/>
      <c r="G130" s="112"/>
      <c r="H130" s="112"/>
      <c r="I130" s="112"/>
      <c r="J130" s="112"/>
      <c r="K130" s="112"/>
      <c r="L130" s="117"/>
    </row>
    <row r="131" spans="1:12" x14ac:dyDescent="0.3">
      <c r="A131" s="118">
        <v>172</v>
      </c>
      <c r="B131" s="119">
        <v>48</v>
      </c>
      <c r="C131" s="119" t="s">
        <v>195</v>
      </c>
      <c r="D131" s="119"/>
      <c r="E131" s="140" t="s">
        <v>18</v>
      </c>
      <c r="F131" s="119"/>
      <c r="G131" s="119"/>
      <c r="H131" s="119"/>
      <c r="I131" s="119"/>
      <c r="J131" s="119"/>
      <c r="K131" s="119"/>
      <c r="L131" s="116"/>
    </row>
    <row r="132" spans="1:12" x14ac:dyDescent="0.3">
      <c r="A132" s="125">
        <v>172</v>
      </c>
      <c r="B132" s="7">
        <v>48</v>
      </c>
      <c r="C132" s="7" t="s">
        <v>195</v>
      </c>
      <c r="D132" s="7"/>
      <c r="E132" s="7" t="s">
        <v>161</v>
      </c>
      <c r="F132" s="7"/>
      <c r="G132" s="7"/>
      <c r="H132" s="7"/>
      <c r="I132" s="7"/>
      <c r="J132" s="7"/>
      <c r="K132" s="7"/>
      <c r="L132" s="123"/>
    </row>
    <row r="133" spans="1:12" ht="15" thickBot="1" x14ac:dyDescent="0.35">
      <c r="A133" s="120">
        <v>172</v>
      </c>
      <c r="B133" s="121">
        <v>48</v>
      </c>
      <c r="C133" s="121" t="s">
        <v>195</v>
      </c>
      <c r="D133" s="121"/>
      <c r="E133" s="137" t="s">
        <v>162</v>
      </c>
      <c r="F133" s="121"/>
      <c r="G133" s="121"/>
      <c r="H133" s="121"/>
      <c r="I133" s="121"/>
      <c r="J133" s="121"/>
      <c r="K133" s="121"/>
      <c r="L133" s="117"/>
    </row>
    <row r="134" spans="1:12" x14ac:dyDescent="0.3">
      <c r="A134" s="105">
        <v>173</v>
      </c>
      <c r="B134" s="106">
        <v>49</v>
      </c>
      <c r="C134" s="106" t="s">
        <v>196</v>
      </c>
      <c r="D134" s="106"/>
      <c r="E134" s="138" t="s">
        <v>18</v>
      </c>
      <c r="F134" s="106"/>
      <c r="G134" s="106"/>
      <c r="H134" s="106"/>
      <c r="I134" s="106"/>
      <c r="J134" s="106"/>
      <c r="K134" s="106"/>
      <c r="L134" s="116"/>
    </row>
    <row r="135" spans="1:12" x14ac:dyDescent="0.3">
      <c r="A135" s="122">
        <v>173</v>
      </c>
      <c r="B135" s="10">
        <v>49</v>
      </c>
      <c r="C135" s="10" t="s">
        <v>196</v>
      </c>
      <c r="D135" s="10"/>
      <c r="E135" s="10" t="s">
        <v>161</v>
      </c>
      <c r="F135" s="10"/>
      <c r="G135" s="10"/>
      <c r="H135" s="10"/>
      <c r="I135" s="10"/>
      <c r="J135" s="10"/>
      <c r="K135" s="10"/>
      <c r="L135" s="123"/>
    </row>
    <row r="136" spans="1:12" ht="15" thickBot="1" x14ac:dyDescent="0.35">
      <c r="A136" s="107">
        <v>173</v>
      </c>
      <c r="B136" s="108">
        <v>49</v>
      </c>
      <c r="C136" s="108" t="s">
        <v>196</v>
      </c>
      <c r="D136" s="108"/>
      <c r="E136" s="133" t="s">
        <v>162</v>
      </c>
      <c r="F136" s="108"/>
      <c r="G136" s="108"/>
      <c r="H136" s="108"/>
      <c r="I136" s="108"/>
      <c r="J136" s="108"/>
      <c r="K136" s="108"/>
      <c r="L136" s="117"/>
    </row>
    <row r="137" spans="1:12" x14ac:dyDescent="0.3">
      <c r="A137" s="109">
        <v>174</v>
      </c>
      <c r="B137" s="110">
        <v>50</v>
      </c>
      <c r="C137" s="110" t="s">
        <v>197</v>
      </c>
      <c r="D137" s="110"/>
      <c r="E137" s="139" t="s">
        <v>18</v>
      </c>
      <c r="F137" s="110"/>
      <c r="G137" s="110"/>
      <c r="H137" s="110"/>
      <c r="I137" s="110"/>
      <c r="J137" s="110"/>
      <c r="K137" s="110"/>
      <c r="L137" s="116"/>
    </row>
    <row r="138" spans="1:12" x14ac:dyDescent="0.3">
      <c r="A138" s="124">
        <v>174</v>
      </c>
      <c r="B138" s="3">
        <v>50</v>
      </c>
      <c r="C138" s="3" t="s">
        <v>197</v>
      </c>
      <c r="D138" s="3"/>
      <c r="E138" s="3" t="s">
        <v>161</v>
      </c>
      <c r="F138" s="3"/>
      <c r="G138" s="3"/>
      <c r="H138" s="3"/>
      <c r="I138" s="3"/>
      <c r="J138" s="3"/>
      <c r="K138" s="3"/>
      <c r="L138" s="123"/>
    </row>
    <row r="139" spans="1:12" ht="15" thickBot="1" x14ac:dyDescent="0.35">
      <c r="A139" s="111">
        <v>174</v>
      </c>
      <c r="B139" s="112">
        <v>50</v>
      </c>
      <c r="C139" s="112" t="s">
        <v>197</v>
      </c>
      <c r="D139" s="112"/>
      <c r="E139" s="135" t="s">
        <v>162</v>
      </c>
      <c r="F139" s="112"/>
      <c r="G139" s="112"/>
      <c r="H139" s="112"/>
      <c r="I139" s="112"/>
      <c r="J139" s="112"/>
      <c r="K139" s="112"/>
      <c r="L139" s="117"/>
    </row>
    <row r="140" spans="1:12" x14ac:dyDescent="0.3">
      <c r="A140" s="118">
        <v>175</v>
      </c>
      <c r="B140" s="119">
        <v>51</v>
      </c>
      <c r="C140" s="119" t="s">
        <v>198</v>
      </c>
      <c r="D140" s="119"/>
      <c r="E140" s="140" t="s">
        <v>18</v>
      </c>
      <c r="F140" s="119"/>
      <c r="G140" s="119"/>
      <c r="H140" s="119"/>
      <c r="I140" s="119"/>
      <c r="J140" s="119"/>
      <c r="K140" s="119"/>
      <c r="L140" s="116"/>
    </row>
    <row r="141" spans="1:12" x14ac:dyDescent="0.3">
      <c r="A141" s="125">
        <v>175</v>
      </c>
      <c r="B141" s="7">
        <v>51</v>
      </c>
      <c r="C141" s="7" t="s">
        <v>198</v>
      </c>
      <c r="D141" s="7"/>
      <c r="E141" s="7" t="s">
        <v>161</v>
      </c>
      <c r="F141" s="7"/>
      <c r="G141" s="7"/>
      <c r="H141" s="7"/>
      <c r="I141" s="7"/>
      <c r="J141" s="7"/>
      <c r="K141" s="7"/>
      <c r="L141" s="123"/>
    </row>
    <row r="142" spans="1:12" ht="15" thickBot="1" x14ac:dyDescent="0.35">
      <c r="A142" s="120">
        <v>175</v>
      </c>
      <c r="B142" s="121">
        <v>51</v>
      </c>
      <c r="C142" s="121" t="s">
        <v>198</v>
      </c>
      <c r="D142" s="121"/>
      <c r="E142" s="137" t="s">
        <v>162</v>
      </c>
      <c r="F142" s="121"/>
      <c r="G142" s="121"/>
      <c r="H142" s="121"/>
      <c r="I142" s="121"/>
      <c r="J142" s="121"/>
      <c r="K142" s="121"/>
      <c r="L142" s="117"/>
    </row>
    <row r="143" spans="1:12" x14ac:dyDescent="0.3">
      <c r="A143" s="105">
        <v>176</v>
      </c>
      <c r="B143" s="106">
        <v>52</v>
      </c>
      <c r="C143" s="106" t="s">
        <v>199</v>
      </c>
      <c r="D143" s="106"/>
      <c r="E143" s="138" t="s">
        <v>18</v>
      </c>
      <c r="F143" s="106"/>
      <c r="G143" s="106"/>
      <c r="H143" s="106"/>
      <c r="I143" s="106"/>
      <c r="J143" s="106"/>
      <c r="K143" s="106"/>
      <c r="L143" s="116"/>
    </row>
    <row r="144" spans="1:12" ht="15" thickBot="1" x14ac:dyDescent="0.35">
      <c r="A144" s="107">
        <v>176</v>
      </c>
      <c r="B144" s="108">
        <v>52</v>
      </c>
      <c r="C144" s="108" t="s">
        <v>199</v>
      </c>
      <c r="D144" s="108"/>
      <c r="E144" s="133" t="s">
        <v>161</v>
      </c>
      <c r="F144" s="108"/>
      <c r="G144" s="108"/>
      <c r="H144" s="108"/>
      <c r="I144" s="108"/>
      <c r="J144" s="108"/>
      <c r="K144" s="108"/>
      <c r="L144" s="117"/>
    </row>
    <row r="145" spans="1:12" x14ac:dyDescent="0.3">
      <c r="A145" s="109">
        <v>177</v>
      </c>
      <c r="B145" s="110">
        <v>53</v>
      </c>
      <c r="C145" s="110" t="s">
        <v>200</v>
      </c>
      <c r="D145" s="110"/>
      <c r="E145" s="139" t="s">
        <v>18</v>
      </c>
      <c r="F145" s="110"/>
      <c r="G145" s="110"/>
      <c r="H145" s="110"/>
      <c r="I145" s="110"/>
      <c r="J145" s="110"/>
      <c r="K145" s="110"/>
      <c r="L145" s="116"/>
    </row>
    <row r="146" spans="1:12" ht="15" thickBot="1" x14ac:dyDescent="0.35">
      <c r="A146" s="111">
        <v>177</v>
      </c>
      <c r="B146" s="112">
        <v>53</v>
      </c>
      <c r="C146" s="112" t="s">
        <v>200</v>
      </c>
      <c r="D146" s="112"/>
      <c r="E146" s="135" t="s">
        <v>161</v>
      </c>
      <c r="F146" s="112"/>
      <c r="G146" s="112"/>
      <c r="H146" s="112"/>
      <c r="I146" s="112"/>
      <c r="J146" s="112"/>
      <c r="K146" s="112"/>
      <c r="L146" s="117"/>
    </row>
    <row r="147" spans="1:12" x14ac:dyDescent="0.3">
      <c r="A147" s="118">
        <v>178</v>
      </c>
      <c r="B147" s="119">
        <v>54</v>
      </c>
      <c r="C147" s="119" t="s">
        <v>201</v>
      </c>
      <c r="D147" s="119"/>
      <c r="E147" s="140" t="s">
        <v>161</v>
      </c>
      <c r="F147" s="119"/>
      <c r="G147" s="119"/>
      <c r="H147" s="119"/>
      <c r="I147" s="119"/>
      <c r="J147" s="119"/>
      <c r="K147" s="119"/>
      <c r="L147" s="116"/>
    </row>
    <row r="148" spans="1:12" ht="15" thickBot="1" x14ac:dyDescent="0.35">
      <c r="A148" s="120">
        <v>178</v>
      </c>
      <c r="B148" s="121">
        <v>54</v>
      </c>
      <c r="C148" s="121" t="s">
        <v>201</v>
      </c>
      <c r="D148" s="121"/>
      <c r="E148" s="137" t="s">
        <v>18</v>
      </c>
      <c r="F148" s="121"/>
      <c r="G148" s="121"/>
      <c r="H148" s="121"/>
      <c r="I148" s="121"/>
      <c r="J148" s="121"/>
      <c r="K148" s="121"/>
      <c r="L148" s="117"/>
    </row>
    <row r="149" spans="1:12" x14ac:dyDescent="0.3">
      <c r="A149" s="105">
        <v>179</v>
      </c>
      <c r="B149" s="106">
        <v>55</v>
      </c>
      <c r="C149" s="106" t="s">
        <v>202</v>
      </c>
      <c r="D149" s="106"/>
      <c r="E149" s="138" t="s">
        <v>18</v>
      </c>
      <c r="F149" s="106"/>
      <c r="G149" s="106"/>
      <c r="H149" s="106"/>
      <c r="I149" s="106"/>
      <c r="J149" s="106"/>
      <c r="K149" s="106"/>
      <c r="L149" s="116"/>
    </row>
    <row r="150" spans="1:12" ht="15" thickBot="1" x14ac:dyDescent="0.35">
      <c r="A150" s="107">
        <v>179</v>
      </c>
      <c r="B150" s="108">
        <v>55</v>
      </c>
      <c r="C150" s="108" t="s">
        <v>202</v>
      </c>
      <c r="D150" s="108"/>
      <c r="E150" s="133" t="s">
        <v>161</v>
      </c>
      <c r="F150" s="108"/>
      <c r="G150" s="108"/>
      <c r="H150" s="108"/>
      <c r="I150" s="108"/>
      <c r="J150" s="108"/>
      <c r="K150" s="108"/>
      <c r="L150" s="117"/>
    </row>
    <row r="151" spans="1:12" x14ac:dyDescent="0.3">
      <c r="A151" s="118">
        <v>181</v>
      </c>
      <c r="B151" s="119">
        <v>56</v>
      </c>
      <c r="C151" s="119" t="s">
        <v>204</v>
      </c>
      <c r="D151" s="119"/>
      <c r="E151" s="140" t="s">
        <v>18</v>
      </c>
      <c r="F151" s="119"/>
      <c r="G151" s="119"/>
      <c r="H151" s="119"/>
      <c r="I151" s="119"/>
      <c r="J151" s="119"/>
      <c r="K151" s="119"/>
      <c r="L151" s="116"/>
    </row>
    <row r="152" spans="1:12" x14ac:dyDescent="0.3">
      <c r="A152" s="125">
        <v>181</v>
      </c>
      <c r="B152" s="7">
        <v>56</v>
      </c>
      <c r="C152" s="7" t="s">
        <v>204</v>
      </c>
      <c r="D152" s="7"/>
      <c r="E152" s="7" t="s">
        <v>161</v>
      </c>
      <c r="F152" s="7"/>
      <c r="G152" s="7"/>
      <c r="H152" s="7"/>
      <c r="I152" s="7"/>
      <c r="J152" s="7"/>
      <c r="K152" s="7"/>
      <c r="L152" s="123"/>
    </row>
    <row r="153" spans="1:12" ht="15" thickBot="1" x14ac:dyDescent="0.35">
      <c r="A153" s="120">
        <v>181</v>
      </c>
      <c r="B153" s="121">
        <v>56</v>
      </c>
      <c r="C153" s="121" t="s">
        <v>204</v>
      </c>
      <c r="D153" s="121"/>
      <c r="E153" s="137" t="s">
        <v>162</v>
      </c>
      <c r="F153" s="121"/>
      <c r="G153" s="121"/>
      <c r="H153" s="121"/>
      <c r="I153" s="121"/>
      <c r="J153" s="121"/>
      <c r="K153" s="121"/>
      <c r="L153" s="117"/>
    </row>
    <row r="154" spans="1:12" x14ac:dyDescent="0.3">
      <c r="A154" s="105">
        <v>182</v>
      </c>
      <c r="B154" s="106">
        <v>57</v>
      </c>
      <c r="C154" s="106" t="s">
        <v>205</v>
      </c>
      <c r="D154" s="106"/>
      <c r="E154" s="138" t="s">
        <v>18</v>
      </c>
      <c r="F154" s="106"/>
      <c r="G154" s="106"/>
      <c r="H154" s="106"/>
      <c r="I154" s="106"/>
      <c r="J154" s="106"/>
      <c r="K154" s="106"/>
      <c r="L154" s="116"/>
    </row>
    <row r="155" spans="1:12" ht="15" thickBot="1" x14ac:dyDescent="0.35">
      <c r="A155" s="107">
        <v>182</v>
      </c>
      <c r="B155" s="108">
        <v>57</v>
      </c>
      <c r="C155" s="108" t="s">
        <v>205</v>
      </c>
      <c r="D155" s="108"/>
      <c r="E155" s="133" t="s">
        <v>161</v>
      </c>
      <c r="F155" s="108"/>
      <c r="G155" s="108"/>
      <c r="H155" s="108"/>
      <c r="I155" s="108"/>
      <c r="J155" s="108"/>
      <c r="K155" s="108"/>
      <c r="L155" s="117"/>
    </row>
    <row r="156" spans="1:12" x14ac:dyDescent="0.3">
      <c r="A156" s="109">
        <v>183</v>
      </c>
      <c r="B156" s="110">
        <v>58</v>
      </c>
      <c r="C156" s="110" t="s">
        <v>206</v>
      </c>
      <c r="D156" s="110"/>
      <c r="E156" s="139" t="s">
        <v>18</v>
      </c>
      <c r="F156" s="110"/>
      <c r="G156" s="110"/>
      <c r="H156" s="110"/>
      <c r="I156" s="110"/>
      <c r="J156" s="110"/>
      <c r="K156" s="110"/>
      <c r="L156" s="116"/>
    </row>
    <row r="157" spans="1:12" ht="15" thickBot="1" x14ac:dyDescent="0.35">
      <c r="A157" s="111">
        <v>183</v>
      </c>
      <c r="B157" s="112">
        <v>58</v>
      </c>
      <c r="C157" s="112" t="s">
        <v>206</v>
      </c>
      <c r="D157" s="112"/>
      <c r="E157" s="135" t="s">
        <v>161</v>
      </c>
      <c r="F157" s="112"/>
      <c r="G157" s="112"/>
      <c r="H157" s="112"/>
      <c r="I157" s="112"/>
      <c r="J157" s="112"/>
      <c r="K157" s="112"/>
      <c r="L157" s="117"/>
    </row>
    <row r="158" spans="1:12" x14ac:dyDescent="0.3">
      <c r="A158" s="118">
        <v>184</v>
      </c>
      <c r="B158" s="119">
        <v>59</v>
      </c>
      <c r="C158" s="119" t="s">
        <v>207</v>
      </c>
      <c r="D158" s="119"/>
      <c r="E158" s="140" t="s">
        <v>18</v>
      </c>
      <c r="F158" s="119"/>
      <c r="G158" s="119"/>
      <c r="H158" s="119"/>
      <c r="I158" s="119"/>
      <c r="J158" s="119"/>
      <c r="K158" s="119"/>
      <c r="L158" s="116"/>
    </row>
    <row r="159" spans="1:12" ht="15" thickBot="1" x14ac:dyDescent="0.35">
      <c r="A159" s="120">
        <v>184</v>
      </c>
      <c r="B159" s="121">
        <v>59</v>
      </c>
      <c r="C159" s="121" t="s">
        <v>207</v>
      </c>
      <c r="D159" s="121"/>
      <c r="E159" s="137" t="s">
        <v>161</v>
      </c>
      <c r="F159" s="121"/>
      <c r="G159" s="121"/>
      <c r="H159" s="121"/>
      <c r="I159" s="121"/>
      <c r="J159" s="121"/>
      <c r="K159" s="121"/>
      <c r="L159" s="117"/>
    </row>
  </sheetData>
  <phoneticPr fontId="12" type="noConversion"/>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7731-92FD-449F-BAE3-81306A5EBCCF}">
  <sheetPr>
    <tabColor rgb="FFFFFF00"/>
  </sheetPr>
  <dimension ref="B2:H66"/>
  <sheetViews>
    <sheetView workbookViewId="0">
      <selection activeCell="E3" sqref="E3"/>
    </sheetView>
  </sheetViews>
  <sheetFormatPr defaultRowHeight="14.4" x14ac:dyDescent="0.3"/>
  <cols>
    <col min="2" max="2" width="45.6640625" customWidth="1"/>
    <col min="3" max="3" width="12.44140625" customWidth="1"/>
    <col min="4" max="4" width="12.6640625" customWidth="1"/>
    <col min="6" max="6" width="18.33203125" customWidth="1"/>
    <col min="7" max="7" width="36.88671875" customWidth="1"/>
    <col min="8" max="8" width="36.44140625" customWidth="1"/>
  </cols>
  <sheetData>
    <row r="2" spans="2:8" ht="16.2" thickBot="1" x14ac:dyDescent="0.35">
      <c r="B2" s="22" t="s">
        <v>210</v>
      </c>
      <c r="C2" s="23" t="s">
        <v>212</v>
      </c>
      <c r="D2" s="24" t="s">
        <v>213</v>
      </c>
      <c r="E2" s="24" t="s">
        <v>331</v>
      </c>
      <c r="F2" s="24" t="s">
        <v>332</v>
      </c>
      <c r="G2" s="25" t="s">
        <v>333</v>
      </c>
      <c r="H2" s="26" t="s">
        <v>211</v>
      </c>
    </row>
    <row r="3" spans="2:8" ht="15.6" x14ac:dyDescent="0.3">
      <c r="B3" s="27" t="s">
        <v>214</v>
      </c>
      <c r="C3" s="28" t="s">
        <v>216</v>
      </c>
      <c r="D3" s="29" t="s">
        <v>217</v>
      </c>
      <c r="E3" s="28"/>
      <c r="F3" s="28"/>
      <c r="G3" s="30"/>
      <c r="H3" s="31"/>
    </row>
    <row r="4" spans="2:8" ht="15.6" x14ac:dyDescent="0.3">
      <c r="B4" s="32" t="s">
        <v>218</v>
      </c>
      <c r="C4" s="33" t="s">
        <v>220</v>
      </c>
      <c r="D4" s="33" t="s">
        <v>221</v>
      </c>
      <c r="E4" s="33"/>
      <c r="F4" s="33"/>
      <c r="G4" s="34"/>
      <c r="H4" s="35"/>
    </row>
    <row r="5" spans="2:8" ht="15.6" x14ac:dyDescent="0.3">
      <c r="B5" s="32" t="s">
        <v>222</v>
      </c>
      <c r="C5" s="28" t="s">
        <v>224</v>
      </c>
      <c r="D5" s="28" t="s">
        <v>225</v>
      </c>
      <c r="E5" s="28"/>
      <c r="F5" s="28"/>
      <c r="G5" s="30"/>
      <c r="H5" s="31"/>
    </row>
    <row r="6" spans="2:8" ht="15.6" x14ac:dyDescent="0.3">
      <c r="B6" s="32" t="s">
        <v>226</v>
      </c>
      <c r="C6" s="33" t="s">
        <v>216</v>
      </c>
      <c r="D6" s="33" t="s">
        <v>228</v>
      </c>
      <c r="E6" s="33"/>
      <c r="F6" s="33"/>
      <c r="G6" s="34"/>
      <c r="H6" s="35"/>
    </row>
    <row r="7" spans="2:8" ht="15.6" x14ac:dyDescent="0.3">
      <c r="B7" s="32" t="s">
        <v>229</v>
      </c>
      <c r="C7" s="28" t="s">
        <v>231</v>
      </c>
      <c r="D7" s="28" t="s">
        <v>232</v>
      </c>
      <c r="E7" s="28"/>
      <c r="F7" s="28"/>
      <c r="G7" s="30"/>
      <c r="H7" s="31"/>
    </row>
    <row r="8" spans="2:8" ht="15.6" x14ac:dyDescent="0.3">
      <c r="B8" s="32" t="s">
        <v>233</v>
      </c>
      <c r="C8" s="33" t="s">
        <v>235</v>
      </c>
      <c r="D8" s="33" t="s">
        <v>236</v>
      </c>
      <c r="E8" s="33"/>
      <c r="F8" s="33"/>
      <c r="G8" s="34"/>
      <c r="H8" s="35"/>
    </row>
    <row r="9" spans="2:8" ht="15.6" x14ac:dyDescent="0.3">
      <c r="B9" s="32" t="s">
        <v>237</v>
      </c>
      <c r="C9" s="28" t="s">
        <v>235</v>
      </c>
      <c r="D9" s="28" t="s">
        <v>239</v>
      </c>
      <c r="E9" s="28"/>
      <c r="F9" s="28"/>
      <c r="G9" s="30"/>
      <c r="H9" s="31"/>
    </row>
    <row r="10" spans="2:8" ht="15.6" x14ac:dyDescent="0.3">
      <c r="B10" s="32" t="s">
        <v>240</v>
      </c>
      <c r="C10" s="33" t="s">
        <v>220</v>
      </c>
      <c r="D10" s="33" t="s">
        <v>242</v>
      </c>
      <c r="E10" s="33"/>
      <c r="F10" s="33"/>
      <c r="G10" s="34"/>
      <c r="H10" s="35"/>
    </row>
    <row r="11" spans="2:8" ht="15.6" x14ac:dyDescent="0.3">
      <c r="B11" s="32" t="s">
        <v>243</v>
      </c>
      <c r="C11" s="28" t="s">
        <v>235</v>
      </c>
      <c r="D11" s="28" t="s">
        <v>244</v>
      </c>
      <c r="E11" s="28"/>
      <c r="F11" s="28"/>
      <c r="G11" s="30"/>
      <c r="H11" s="31"/>
    </row>
    <row r="12" spans="2:8" ht="15.6" x14ac:dyDescent="0.3">
      <c r="B12" s="32" t="s">
        <v>245</v>
      </c>
      <c r="C12" s="33" t="s">
        <v>216</v>
      </c>
      <c r="D12" s="33" t="s">
        <v>247</v>
      </c>
      <c r="E12" s="33"/>
      <c r="F12" s="33"/>
      <c r="G12" s="34"/>
      <c r="H12" s="35"/>
    </row>
    <row r="13" spans="2:8" ht="15.6" x14ac:dyDescent="0.3">
      <c r="B13" s="32" t="s">
        <v>248</v>
      </c>
      <c r="C13" s="28" t="s">
        <v>340</v>
      </c>
      <c r="D13" s="28" t="s">
        <v>251</v>
      </c>
      <c r="E13" s="28"/>
      <c r="F13" s="28"/>
      <c r="G13" s="30"/>
      <c r="H13" s="31"/>
    </row>
    <row r="14" spans="2:8" ht="15.6" x14ac:dyDescent="0.3">
      <c r="B14" s="32" t="s">
        <v>252</v>
      </c>
      <c r="C14" s="33" t="s">
        <v>216</v>
      </c>
      <c r="D14" s="33" t="s">
        <v>254</v>
      </c>
      <c r="E14" s="33"/>
      <c r="F14" s="33"/>
      <c r="G14" s="34"/>
      <c r="H14" s="35"/>
    </row>
    <row r="15" spans="2:8" ht="15.6" x14ac:dyDescent="0.3">
      <c r="B15" s="32" t="s">
        <v>255</v>
      </c>
      <c r="C15" s="28" t="s">
        <v>231</v>
      </c>
      <c r="D15" s="28" t="s">
        <v>256</v>
      </c>
      <c r="E15" s="28"/>
      <c r="F15" s="28"/>
      <c r="G15" s="30"/>
      <c r="H15" s="31"/>
    </row>
    <row r="16" spans="2:8" ht="16.2" thickBot="1" x14ac:dyDescent="0.35">
      <c r="B16" s="36" t="s">
        <v>257</v>
      </c>
      <c r="C16" s="37" t="s">
        <v>220</v>
      </c>
      <c r="D16" s="37" t="s">
        <v>259</v>
      </c>
      <c r="E16" s="37"/>
      <c r="F16" s="37"/>
      <c r="G16" s="38"/>
      <c r="H16" s="39"/>
    </row>
    <row r="17" spans="2:8" ht="15.6" x14ac:dyDescent="0.3">
      <c r="B17" s="40" t="s">
        <v>214</v>
      </c>
      <c r="C17" s="41" t="s">
        <v>261</v>
      </c>
      <c r="D17" s="41" t="s">
        <v>262</v>
      </c>
      <c r="E17" s="41"/>
      <c r="F17" s="70"/>
      <c r="G17" s="69"/>
      <c r="H17" s="71"/>
    </row>
    <row r="18" spans="2:8" ht="15.6" x14ac:dyDescent="0.3">
      <c r="B18" s="32" t="s">
        <v>263</v>
      </c>
      <c r="C18" s="33" t="s">
        <v>235</v>
      </c>
      <c r="D18" s="33" t="s">
        <v>265</v>
      </c>
      <c r="E18" s="33"/>
      <c r="F18" s="33"/>
      <c r="G18" s="34"/>
      <c r="H18" s="35"/>
    </row>
    <row r="19" spans="2:8" ht="15.6" x14ac:dyDescent="0.3">
      <c r="B19" s="32" t="s">
        <v>222</v>
      </c>
      <c r="C19" s="28" t="s">
        <v>224</v>
      </c>
      <c r="D19" s="28" t="s">
        <v>266</v>
      </c>
      <c r="E19" s="28"/>
      <c r="F19" s="28"/>
      <c r="G19" s="30"/>
      <c r="H19" s="31"/>
    </row>
    <row r="20" spans="2:8" ht="15.6" x14ac:dyDescent="0.3">
      <c r="B20" s="32" t="s">
        <v>267</v>
      </c>
      <c r="C20" s="33" t="s">
        <v>231</v>
      </c>
      <c r="D20" s="33" t="s">
        <v>269</v>
      </c>
      <c r="E20" s="33"/>
      <c r="F20" s="33"/>
      <c r="G20" s="34"/>
      <c r="H20" s="35"/>
    </row>
    <row r="21" spans="2:8" ht="15.6" x14ac:dyDescent="0.3">
      <c r="B21" s="32" t="s">
        <v>270</v>
      </c>
      <c r="C21" s="28" t="s">
        <v>231</v>
      </c>
      <c r="D21" s="28" t="s">
        <v>272</v>
      </c>
      <c r="E21" s="28"/>
      <c r="F21" s="28"/>
      <c r="G21" s="30"/>
      <c r="H21" s="31"/>
    </row>
    <row r="22" spans="2:8" ht="15.6" x14ac:dyDescent="0.3">
      <c r="B22" s="32" t="s">
        <v>226</v>
      </c>
      <c r="C22" s="33" t="s">
        <v>261</v>
      </c>
      <c r="D22" s="33" t="s">
        <v>274</v>
      </c>
      <c r="E22" s="33"/>
      <c r="F22" s="33"/>
      <c r="G22" s="34"/>
      <c r="H22" s="35"/>
    </row>
    <row r="23" spans="2:8" ht="15.6" x14ac:dyDescent="0.3">
      <c r="B23" s="32" t="s">
        <v>229</v>
      </c>
      <c r="C23" s="28" t="s">
        <v>231</v>
      </c>
      <c r="D23" s="28" t="s">
        <v>275</v>
      </c>
      <c r="E23" s="28"/>
      <c r="F23" s="28"/>
      <c r="G23" s="30"/>
      <c r="H23" s="31"/>
    </row>
    <row r="24" spans="2:8" ht="15.6" x14ac:dyDescent="0.3">
      <c r="B24" s="32" t="s">
        <v>233</v>
      </c>
      <c r="C24" s="33" t="s">
        <v>235</v>
      </c>
      <c r="D24" s="33" t="s">
        <v>277</v>
      </c>
      <c r="E24" s="33"/>
      <c r="F24" s="33"/>
      <c r="G24" s="34"/>
      <c r="H24" s="35"/>
    </row>
    <row r="25" spans="2:8" ht="15.6" x14ac:dyDescent="0.3">
      <c r="B25" s="32" t="s">
        <v>237</v>
      </c>
      <c r="C25" s="28" t="s">
        <v>235</v>
      </c>
      <c r="D25" s="28" t="s">
        <v>279</v>
      </c>
      <c r="E25" s="28"/>
      <c r="F25" s="28"/>
      <c r="G25" s="30"/>
      <c r="H25" s="31"/>
    </row>
    <row r="26" spans="2:8" ht="15.6" x14ac:dyDescent="0.3">
      <c r="B26" s="32" t="s">
        <v>240</v>
      </c>
      <c r="C26" s="33" t="s">
        <v>220</v>
      </c>
      <c r="D26" s="33" t="s">
        <v>281</v>
      </c>
      <c r="E26" s="33"/>
      <c r="F26" s="33"/>
      <c r="G26" s="34"/>
      <c r="H26" s="35"/>
    </row>
    <row r="27" spans="2:8" ht="15.6" x14ac:dyDescent="0.3">
      <c r="B27" s="32" t="s">
        <v>243</v>
      </c>
      <c r="C27" s="28" t="s">
        <v>235</v>
      </c>
      <c r="D27" s="28" t="s">
        <v>283</v>
      </c>
      <c r="E27" s="28"/>
      <c r="F27" s="28"/>
      <c r="G27" s="30"/>
      <c r="H27" s="31"/>
    </row>
    <row r="28" spans="2:8" ht="15.6" x14ac:dyDescent="0.3">
      <c r="B28" s="32" t="s">
        <v>245</v>
      </c>
      <c r="C28" s="33" t="s">
        <v>261</v>
      </c>
      <c r="D28" s="33" t="s">
        <v>284</v>
      </c>
      <c r="E28" s="33"/>
      <c r="F28" s="33"/>
      <c r="G28" s="34"/>
      <c r="H28" s="35"/>
    </row>
    <row r="29" spans="2:8" ht="15.6" x14ac:dyDescent="0.3">
      <c r="B29" s="32" t="s">
        <v>248</v>
      </c>
      <c r="C29" s="28" t="s">
        <v>335</v>
      </c>
      <c r="D29" s="28" t="s">
        <v>287</v>
      </c>
      <c r="E29" s="28"/>
      <c r="F29" s="28"/>
      <c r="G29" s="30"/>
      <c r="H29" s="31"/>
    </row>
    <row r="30" spans="2:8" ht="15.6" x14ac:dyDescent="0.3">
      <c r="B30" s="32" t="s">
        <v>252</v>
      </c>
      <c r="C30" s="33" t="s">
        <v>261</v>
      </c>
      <c r="D30" s="33" t="s">
        <v>288</v>
      </c>
      <c r="E30" s="33"/>
      <c r="F30" s="33"/>
      <c r="G30" s="34"/>
      <c r="H30" s="35"/>
    </row>
    <row r="31" spans="2:8" ht="15.6" x14ac:dyDescent="0.3">
      <c r="B31" s="32" t="s">
        <v>255</v>
      </c>
      <c r="C31" s="28" t="s">
        <v>231</v>
      </c>
      <c r="D31" s="28" t="s">
        <v>289</v>
      </c>
      <c r="E31" s="28"/>
      <c r="F31" s="28"/>
      <c r="G31" s="30"/>
      <c r="H31" s="31"/>
    </row>
    <row r="32" spans="2:8" ht="16.2" thickBot="1" x14ac:dyDescent="0.35">
      <c r="B32" s="36" t="s">
        <v>257</v>
      </c>
      <c r="C32" s="37" t="s">
        <v>220</v>
      </c>
      <c r="D32" s="37" t="s">
        <v>291</v>
      </c>
      <c r="E32" s="37"/>
      <c r="F32" s="37"/>
      <c r="G32" s="38"/>
      <c r="H32" s="39"/>
    </row>
    <row r="33" spans="2:8" ht="15.6" x14ac:dyDescent="0.3">
      <c r="B33" s="40" t="s">
        <v>292</v>
      </c>
      <c r="C33" s="28" t="s">
        <v>231</v>
      </c>
      <c r="D33" s="41" t="s">
        <v>294</v>
      </c>
      <c r="E33" s="41"/>
      <c r="F33" s="70"/>
      <c r="G33" s="69"/>
      <c r="H33" s="71"/>
    </row>
    <row r="34" spans="2:8" ht="15.6" x14ac:dyDescent="0.3">
      <c r="B34" s="32" t="s">
        <v>295</v>
      </c>
      <c r="C34" s="33" t="s">
        <v>231</v>
      </c>
      <c r="D34" s="33" t="s">
        <v>297</v>
      </c>
      <c r="E34" s="33"/>
      <c r="F34" s="33"/>
      <c r="G34" s="34"/>
      <c r="H34" s="35"/>
    </row>
    <row r="35" spans="2:8" ht="16.2" thickBot="1" x14ac:dyDescent="0.35">
      <c r="B35" s="36" t="s">
        <v>298</v>
      </c>
      <c r="C35" s="28" t="s">
        <v>231</v>
      </c>
      <c r="D35" s="45" t="s">
        <v>300</v>
      </c>
      <c r="E35" s="45"/>
      <c r="F35" s="45"/>
      <c r="G35" s="46"/>
      <c r="H35" s="47"/>
    </row>
    <row r="36" spans="2:8" ht="15.6" x14ac:dyDescent="0.3">
      <c r="B36" s="40" t="s">
        <v>214</v>
      </c>
      <c r="C36" s="33" t="s">
        <v>216</v>
      </c>
      <c r="D36" s="43" t="s">
        <v>301</v>
      </c>
      <c r="E36" s="43"/>
      <c r="F36" s="129"/>
      <c r="G36" s="130"/>
      <c r="H36" s="131"/>
    </row>
    <row r="37" spans="2:8" ht="15.6" x14ac:dyDescent="0.3">
      <c r="B37" s="32" t="s">
        <v>218</v>
      </c>
      <c r="C37" s="28" t="s">
        <v>220</v>
      </c>
      <c r="D37" s="28" t="s">
        <v>302</v>
      </c>
      <c r="E37" s="28"/>
      <c r="F37" s="28"/>
      <c r="G37" s="30"/>
      <c r="H37" s="31"/>
    </row>
    <row r="38" spans="2:8" ht="15.6" x14ac:dyDescent="0.3">
      <c r="B38" s="32" t="s">
        <v>222</v>
      </c>
      <c r="C38" s="33" t="s">
        <v>224</v>
      </c>
      <c r="D38" s="33" t="s">
        <v>303</v>
      </c>
      <c r="E38" s="33"/>
      <c r="F38" s="33"/>
      <c r="G38" s="34"/>
      <c r="H38" s="35"/>
    </row>
    <row r="39" spans="2:8" ht="15.6" x14ac:dyDescent="0.3">
      <c r="B39" s="32" t="s">
        <v>226</v>
      </c>
      <c r="C39" s="28" t="s">
        <v>216</v>
      </c>
      <c r="D39" s="28" t="s">
        <v>304</v>
      </c>
      <c r="E39" s="28"/>
      <c r="F39" s="28"/>
      <c r="G39" s="30"/>
      <c r="H39" s="31"/>
    </row>
    <row r="40" spans="2:8" ht="15.6" x14ac:dyDescent="0.3">
      <c r="B40" s="32" t="s">
        <v>229</v>
      </c>
      <c r="C40" s="33" t="s">
        <v>231</v>
      </c>
      <c r="D40" s="33" t="s">
        <v>305</v>
      </c>
      <c r="E40" s="33"/>
      <c r="F40" s="33"/>
      <c r="G40" s="34"/>
      <c r="H40" s="35"/>
    </row>
    <row r="41" spans="2:8" ht="15.6" x14ac:dyDescent="0.3">
      <c r="B41" s="32" t="s">
        <v>233</v>
      </c>
      <c r="C41" s="28" t="s">
        <v>235</v>
      </c>
      <c r="D41" s="28" t="s">
        <v>306</v>
      </c>
      <c r="E41" s="28"/>
      <c r="F41" s="28"/>
      <c r="G41" s="30"/>
      <c r="H41" s="31"/>
    </row>
    <row r="42" spans="2:8" ht="15.6" x14ac:dyDescent="0.3">
      <c r="B42" s="32" t="s">
        <v>237</v>
      </c>
      <c r="C42" s="33" t="s">
        <v>235</v>
      </c>
      <c r="D42" s="33" t="s">
        <v>307</v>
      </c>
      <c r="E42" s="33"/>
      <c r="F42" s="33"/>
      <c r="G42" s="34"/>
      <c r="H42" s="35"/>
    </row>
    <row r="43" spans="2:8" ht="15.6" x14ac:dyDescent="0.3">
      <c r="B43" s="32" t="s">
        <v>240</v>
      </c>
      <c r="C43" s="28" t="s">
        <v>220</v>
      </c>
      <c r="D43" s="28" t="s">
        <v>308</v>
      </c>
      <c r="E43" s="28"/>
      <c r="F43" s="28"/>
      <c r="G43" s="30"/>
      <c r="H43" s="31"/>
    </row>
    <row r="44" spans="2:8" ht="15.6" x14ac:dyDescent="0.3">
      <c r="B44" s="32" t="s">
        <v>243</v>
      </c>
      <c r="C44" s="33" t="s">
        <v>235</v>
      </c>
      <c r="D44" s="33" t="s">
        <v>309</v>
      </c>
      <c r="E44" s="33"/>
      <c r="F44" s="33"/>
      <c r="G44" s="34"/>
      <c r="H44" s="35"/>
    </row>
    <row r="45" spans="2:8" ht="15.6" x14ac:dyDescent="0.3">
      <c r="B45" s="32" t="s">
        <v>245</v>
      </c>
      <c r="C45" s="28" t="s">
        <v>216</v>
      </c>
      <c r="D45" s="28" t="s">
        <v>310</v>
      </c>
      <c r="E45" s="28"/>
      <c r="F45" s="28"/>
      <c r="G45" s="30"/>
      <c r="H45" s="31"/>
    </row>
    <row r="46" spans="2:8" ht="15.6" x14ac:dyDescent="0.3">
      <c r="B46" s="32" t="s">
        <v>248</v>
      </c>
      <c r="C46" s="33" t="s">
        <v>340</v>
      </c>
      <c r="D46" s="33" t="s">
        <v>311</v>
      </c>
      <c r="E46" s="33"/>
      <c r="F46" s="33"/>
      <c r="G46" s="34"/>
      <c r="H46" s="35"/>
    </row>
    <row r="47" spans="2:8" ht="15.6" x14ac:dyDescent="0.3">
      <c r="B47" s="32" t="s">
        <v>252</v>
      </c>
      <c r="C47" s="28" t="s">
        <v>216</v>
      </c>
      <c r="D47" s="28" t="s">
        <v>312</v>
      </c>
      <c r="E47" s="28"/>
      <c r="F47" s="28"/>
      <c r="G47" s="30"/>
      <c r="H47" s="31"/>
    </row>
    <row r="48" spans="2:8" ht="15.6" x14ac:dyDescent="0.3">
      <c r="B48" s="32" t="s">
        <v>255</v>
      </c>
      <c r="C48" s="33" t="s">
        <v>231</v>
      </c>
      <c r="D48" s="33" t="s">
        <v>313</v>
      </c>
      <c r="E48" s="33"/>
      <c r="F48" s="33"/>
      <c r="G48" s="34"/>
      <c r="H48" s="35"/>
    </row>
    <row r="49" spans="2:8" ht="16.2" thickBot="1" x14ac:dyDescent="0.35">
      <c r="B49" s="36" t="s">
        <v>257</v>
      </c>
      <c r="C49" s="45" t="s">
        <v>220</v>
      </c>
      <c r="D49" s="45" t="s">
        <v>314</v>
      </c>
      <c r="E49" s="45"/>
      <c r="F49" s="45"/>
      <c r="G49" s="46"/>
      <c r="H49" s="47"/>
    </row>
    <row r="50" spans="2:8" ht="15.6" x14ac:dyDescent="0.3">
      <c r="B50" s="40" t="s">
        <v>214</v>
      </c>
      <c r="C50" s="43" t="s">
        <v>261</v>
      </c>
      <c r="D50" s="43" t="s">
        <v>315</v>
      </c>
      <c r="E50" s="43"/>
      <c r="F50" s="129"/>
      <c r="G50" s="130"/>
      <c r="H50" s="131"/>
    </row>
    <row r="51" spans="2:8" ht="15.6" x14ac:dyDescent="0.3">
      <c r="B51" s="32" t="s">
        <v>263</v>
      </c>
      <c r="C51" s="28" t="s">
        <v>235</v>
      </c>
      <c r="D51" s="28" t="s">
        <v>316</v>
      </c>
      <c r="E51" s="28"/>
      <c r="F51" s="28"/>
      <c r="G51" s="30"/>
      <c r="H51" s="31"/>
    </row>
    <row r="52" spans="2:8" ht="15.6" x14ac:dyDescent="0.3">
      <c r="B52" s="32" t="s">
        <v>222</v>
      </c>
      <c r="C52" s="33" t="s">
        <v>224</v>
      </c>
      <c r="D52" s="33" t="s">
        <v>317</v>
      </c>
      <c r="E52" s="33"/>
      <c r="F52" s="33"/>
      <c r="G52" s="34"/>
      <c r="H52" s="35"/>
    </row>
    <row r="53" spans="2:8" ht="15.6" x14ac:dyDescent="0.3">
      <c r="B53" s="32" t="s">
        <v>267</v>
      </c>
      <c r="C53" s="28" t="s">
        <v>231</v>
      </c>
      <c r="D53" s="28" t="s">
        <v>318</v>
      </c>
      <c r="E53" s="28"/>
      <c r="F53" s="28"/>
      <c r="G53" s="30"/>
      <c r="H53" s="31"/>
    </row>
    <row r="54" spans="2:8" ht="15.6" x14ac:dyDescent="0.3">
      <c r="B54" s="32" t="s">
        <v>270</v>
      </c>
      <c r="C54" s="33" t="s">
        <v>231</v>
      </c>
      <c r="D54" s="33" t="s">
        <v>319</v>
      </c>
      <c r="E54" s="33"/>
      <c r="F54" s="33"/>
      <c r="G54" s="34"/>
      <c r="H54" s="35"/>
    </row>
    <row r="55" spans="2:8" ht="15.6" x14ac:dyDescent="0.3">
      <c r="B55" s="32" t="s">
        <v>226</v>
      </c>
      <c r="C55" s="28" t="s">
        <v>261</v>
      </c>
      <c r="D55" s="28" t="s">
        <v>320</v>
      </c>
      <c r="E55" s="28"/>
      <c r="F55" s="28"/>
      <c r="G55" s="30"/>
      <c r="H55" s="31"/>
    </row>
    <row r="56" spans="2:8" ht="15.6" x14ac:dyDescent="0.3">
      <c r="B56" s="32" t="s">
        <v>229</v>
      </c>
      <c r="C56" s="33" t="s">
        <v>231</v>
      </c>
      <c r="D56" s="33" t="s">
        <v>321</v>
      </c>
      <c r="E56" s="33"/>
      <c r="F56" s="33"/>
      <c r="G56" s="34"/>
      <c r="H56" s="35"/>
    </row>
    <row r="57" spans="2:8" ht="15.6" x14ac:dyDescent="0.3">
      <c r="B57" s="32" t="s">
        <v>233</v>
      </c>
      <c r="C57" s="28" t="s">
        <v>235</v>
      </c>
      <c r="D57" s="28" t="s">
        <v>322</v>
      </c>
      <c r="E57" s="28"/>
      <c r="F57" s="28"/>
      <c r="G57" s="30"/>
      <c r="H57" s="31"/>
    </row>
    <row r="58" spans="2:8" ht="15.6" x14ac:dyDescent="0.3">
      <c r="B58" s="32" t="s">
        <v>237</v>
      </c>
      <c r="C58" s="33" t="s">
        <v>235</v>
      </c>
      <c r="D58" s="33" t="s">
        <v>323</v>
      </c>
      <c r="E58" s="33"/>
      <c r="F58" s="33"/>
      <c r="G58" s="34"/>
      <c r="H58" s="35"/>
    </row>
    <row r="59" spans="2:8" ht="15.6" x14ac:dyDescent="0.3">
      <c r="B59" s="32" t="s">
        <v>240</v>
      </c>
      <c r="C59" s="28" t="s">
        <v>220</v>
      </c>
      <c r="D59" s="28" t="s">
        <v>324</v>
      </c>
      <c r="E59" s="28"/>
      <c r="F59" s="28"/>
      <c r="G59" s="30"/>
      <c r="H59" s="31"/>
    </row>
    <row r="60" spans="2:8" ht="15.6" x14ac:dyDescent="0.3">
      <c r="B60" s="32" t="s">
        <v>243</v>
      </c>
      <c r="C60" s="33" t="s">
        <v>231</v>
      </c>
      <c r="D60" s="33" t="s">
        <v>325</v>
      </c>
      <c r="E60" s="33"/>
      <c r="F60" s="33"/>
      <c r="G60" s="34"/>
      <c r="H60" s="35"/>
    </row>
    <row r="61" spans="2:8" ht="15.6" x14ac:dyDescent="0.3">
      <c r="B61" s="32" t="s">
        <v>245</v>
      </c>
      <c r="C61" s="28" t="s">
        <v>261</v>
      </c>
      <c r="D61" s="28" t="s">
        <v>326</v>
      </c>
      <c r="E61" s="28"/>
      <c r="F61" s="28"/>
      <c r="G61" s="30"/>
      <c r="H61" s="31"/>
    </row>
    <row r="62" spans="2:8" ht="15.6" x14ac:dyDescent="0.3">
      <c r="B62" s="32" t="s">
        <v>248</v>
      </c>
      <c r="C62" s="33" t="s">
        <v>335</v>
      </c>
      <c r="D62" s="33" t="s">
        <v>327</v>
      </c>
      <c r="E62" s="33"/>
      <c r="F62" s="33"/>
      <c r="G62" s="34"/>
      <c r="H62" s="35"/>
    </row>
    <row r="63" spans="2:8" ht="15.6" x14ac:dyDescent="0.3">
      <c r="B63" s="32" t="s">
        <v>252</v>
      </c>
      <c r="C63" s="28" t="s">
        <v>261</v>
      </c>
      <c r="D63" s="28" t="s">
        <v>328</v>
      </c>
      <c r="E63" s="28"/>
      <c r="F63" s="28"/>
      <c r="G63" s="30"/>
      <c r="H63" s="31"/>
    </row>
    <row r="64" spans="2:8" ht="15.6" x14ac:dyDescent="0.3">
      <c r="B64" s="32" t="s">
        <v>255</v>
      </c>
      <c r="C64" s="33" t="s">
        <v>231</v>
      </c>
      <c r="D64" s="33" t="s">
        <v>329</v>
      </c>
      <c r="E64" s="33"/>
      <c r="F64" s="33"/>
      <c r="G64" s="34"/>
      <c r="H64" s="35"/>
    </row>
    <row r="65" spans="2:8" ht="15.6" x14ac:dyDescent="0.3">
      <c r="B65" s="48" t="s">
        <v>257</v>
      </c>
      <c r="C65" s="49" t="s">
        <v>220</v>
      </c>
      <c r="D65" s="49" t="s">
        <v>330</v>
      </c>
      <c r="E65" s="49"/>
      <c r="F65" s="28"/>
      <c r="G65" s="30"/>
      <c r="H65" s="31"/>
    </row>
    <row r="66" spans="2:8" x14ac:dyDescent="0.3">
      <c r="F66" t="e">
        <f>AVERAGE(F3:F65)</f>
        <v>#DIV/0!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AAE50A43A3FC42B50F50BC74919B4D" ma:contentTypeVersion="12" ma:contentTypeDescription="Create a new document." ma:contentTypeScope="" ma:versionID="3fef68c6f8a87f469038686cd5f967ad">
  <xsd:schema xmlns:xsd="http://www.w3.org/2001/XMLSchema" xmlns:xs="http://www.w3.org/2001/XMLSchema" xmlns:p="http://schemas.microsoft.com/office/2006/metadata/properties" xmlns:ns3="20855efa-852f-4280-8503-98280464d59d" xmlns:ns4="57942f96-59c1-4e31-8a2a-762a95061a94" targetNamespace="http://schemas.microsoft.com/office/2006/metadata/properties" ma:root="true" ma:fieldsID="4e48345ff5bff85e68b3e36bbb52f0b9" ns3:_="" ns4:_="">
    <xsd:import namespace="20855efa-852f-4280-8503-98280464d59d"/>
    <xsd:import namespace="57942f96-59c1-4e31-8a2a-762a95061a9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855efa-852f-4280-8503-98280464d5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942f96-59c1-4e31-8a2a-762a95061a9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855efa-852f-4280-8503-98280464d59d" xsi:nil="true"/>
  </documentManagement>
</p:properties>
</file>

<file path=customXml/itemProps1.xml><?xml version="1.0" encoding="utf-8"?>
<ds:datastoreItem xmlns:ds="http://schemas.openxmlformats.org/officeDocument/2006/customXml" ds:itemID="{DAE1EA9C-6BEE-4020-BAB8-A42B2AAFC3D5}">
  <ds:schemaRefs>
    <ds:schemaRef ds:uri="http://schemas.microsoft.com/sharepoint/v3/contenttype/forms"/>
  </ds:schemaRefs>
</ds:datastoreItem>
</file>

<file path=customXml/itemProps2.xml><?xml version="1.0" encoding="utf-8"?>
<ds:datastoreItem xmlns:ds="http://schemas.openxmlformats.org/officeDocument/2006/customXml" ds:itemID="{DAA9DD25-9533-42C8-A5FB-BDEAD243E0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855efa-852f-4280-8503-98280464d59d"/>
    <ds:schemaRef ds:uri="57942f96-59c1-4e31-8a2a-762a95061a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DAEC6A-0574-4EE9-9584-1A7AE140279D}">
  <ds:schemaRefs>
    <ds:schemaRef ds:uri="http://purl.org/dc/elements/1.1/"/>
    <ds:schemaRef ds:uri="http://schemas.openxmlformats.org/package/2006/metadata/core-properties"/>
    <ds:schemaRef ds:uri="http://schemas.microsoft.com/office/2006/documentManagement/types"/>
    <ds:schemaRef ds:uri="http://purl.org/dc/dcmitype/"/>
    <ds:schemaRef ds:uri="20855efa-852f-4280-8503-98280464d59d"/>
    <ds:schemaRef ds:uri="http://www.w3.org/XML/1998/namespace"/>
    <ds:schemaRef ds:uri="http://schemas.microsoft.com/office/infopath/2007/PartnerControls"/>
    <ds:schemaRef ds:uri="57942f96-59c1-4e31-8a2a-762a95061a94"/>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Subjects</vt:lpstr>
      <vt:lpstr>Names and notes</vt:lpstr>
      <vt:lpstr>don't_need_REA_INF023</vt:lpstr>
      <vt:lpstr>TOD_BB025</vt:lpstr>
      <vt:lpstr>INF_BB025</vt:lpstr>
      <vt:lpstr>TOD_BB026</vt:lpstr>
      <vt:lpstr>INF_BB026</vt:lpstr>
      <vt:lpstr>TOD_BB030</vt:lpstr>
      <vt:lpstr>INF_BB030</vt:lpstr>
      <vt:lpstr>TOD_BB031</vt:lpstr>
      <vt:lpstr>INF_BB031</vt:lpstr>
      <vt:lpstr>TOD_BB037</vt:lpstr>
      <vt:lpstr>INF_BB037</vt:lpstr>
      <vt:lpstr>TOD_BB041</vt:lpstr>
      <vt:lpstr>INF_BB041</vt:lpstr>
      <vt:lpstr>TOD_BB047</vt:lpstr>
      <vt:lpstr>INF_BB047</vt:lpstr>
      <vt:lpstr>TOD_BB050</vt:lpstr>
      <vt:lpstr>INF_BB050</vt:lpstr>
      <vt:lpstr>TOD_BB051</vt:lpstr>
      <vt:lpstr>INF_BB051</vt:lpstr>
      <vt:lpstr>TOD_BB061</vt:lpstr>
      <vt:lpstr>INF_BB061</vt:lpstr>
      <vt:lpstr>TOD_BB063</vt:lpstr>
      <vt:lpstr>INF_BB063</vt:lpstr>
      <vt:lpstr>TOD_BB065</vt:lpstr>
      <vt:lpstr>INF_BB065</vt:lpstr>
      <vt:lpstr>TOD_BB067</vt:lpstr>
      <vt:lpstr>INF_BB067</vt:lpstr>
      <vt:lpstr>TOD_BB072</vt:lpstr>
      <vt:lpstr>INF_BB072</vt:lpstr>
      <vt:lpstr>TOD_BB074</vt:lpstr>
      <vt:lpstr>INF_BB074</vt:lpstr>
      <vt:lpstr>BEG_INF002</vt:lpstr>
      <vt:lpstr>INF002</vt:lpstr>
      <vt:lpstr>REA_INF003</vt:lpstr>
      <vt:lpstr>INF003</vt:lpstr>
      <vt:lpstr>REA_INF005</vt:lpstr>
      <vt:lpstr>PRE_INF005</vt:lpstr>
      <vt:lpstr>INF005 - was not aligned</vt:lpstr>
      <vt:lpstr>BEG_INF007</vt:lpstr>
      <vt:lpstr>INF007</vt:lpstr>
      <vt:lpstr>PRE_INF010</vt:lpstr>
      <vt:lpstr>INF010</vt:lpstr>
      <vt:lpstr>REA_INF011</vt:lpstr>
      <vt:lpstr>INF011</vt:lpstr>
      <vt:lpstr>REA_INF012</vt:lpstr>
      <vt:lpstr>INF012</vt:lpstr>
      <vt:lpstr>BEG_INF013</vt:lpstr>
      <vt:lpstr>INF013</vt:lpstr>
      <vt:lpstr>REA_INF015</vt:lpstr>
      <vt:lpstr>INF015</vt:lpstr>
      <vt:lpstr>REA_INF016</vt:lpstr>
      <vt:lpstr>INF016</vt:lpstr>
      <vt:lpstr>REA_INF017</vt:lpstr>
      <vt:lpstr>INF017</vt:lpstr>
      <vt:lpstr>REA_INF018</vt:lpstr>
      <vt:lpstr>INF018</vt:lpstr>
      <vt:lpstr>REA_INF019</vt:lpstr>
      <vt:lpstr>INF019</vt:lpstr>
      <vt:lpstr>REA_INF020</vt:lpstr>
      <vt:lpstr>INF020</vt:lpstr>
      <vt:lpstr>REA_INF021</vt:lpstr>
      <vt:lpstr>INF021</vt:lpstr>
      <vt:lpstr>REA_INF022</vt:lpstr>
      <vt:lpstr>INF022</vt:lpstr>
      <vt:lpstr>REA_INF023</vt:lpstr>
      <vt:lpstr>Overall Completion</vt:lpstr>
      <vt:lpstr>Reference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Romano, Emma</dc:creator>
  <cp:keywords/>
  <dc:description/>
  <cp:lastModifiedBy>Scullin, Avery</cp:lastModifiedBy>
  <cp:revision/>
  <dcterms:created xsi:type="dcterms:W3CDTF">2024-03-26T19:03:15Z</dcterms:created>
  <dcterms:modified xsi:type="dcterms:W3CDTF">2025-10-24T15:08:34Z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0x01010053AAE50A43A3FC42B50F50BC74919B4D</vt:lpwstr>
  </property>
</Properties>
</file>